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&amp;OP_Summary" sheetId="1" state="visible" r:id="rId1"/>
    <sheet name="Monthly_Performance_Trends" sheetId="2" state="visible" r:id="rId2"/>
    <sheet name="Regional_Performance_Heatmap" sheetId="3" state="visible" r:id="rId3"/>
    <sheet name="ABC_XYZ_Matrix" sheetId="4" state="visible" r:id="rId4"/>
    <sheet name="SKU_Reorder_Simulator" sheetId="5" state="visible" r:id="rId5"/>
    <sheet name="Data_Dictionary_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0"/>
    <numFmt numFmtId="166" formatCode="$#,##0"/>
    <numFmt numFmtId="167" formatCode="0.000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1E293B"/>
      <sz val="20"/>
    </font>
    <font>
      <name val="Segoe UI"/>
      <i val="1"/>
      <color rgb="0064748B"/>
      <sz val="8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B91C1C"/>
      <sz val="10"/>
    </font>
    <font>
      <name val="Segoe UI"/>
      <b val="1"/>
      <color rgb="001E293B"/>
      <sz val="10"/>
    </font>
    <font>
      <name val="Segoe UI"/>
      <color rgb="0015803D"/>
      <sz val="10"/>
    </font>
    <font>
      <name val="Segoe UI"/>
      <color rgb="00B45309"/>
      <sz val="10"/>
    </font>
    <font>
      <name val="Segoe UI"/>
      <b val="1"/>
      <color rgb="0015803D"/>
      <sz val="9"/>
    </font>
    <font>
      <name val="Segoe UI"/>
      <b val="1"/>
      <color rgb="0015803D"/>
      <sz val="11"/>
    </font>
    <font>
      <name val="Segoe UI"/>
      <b val="1"/>
      <color rgb="00B45309"/>
      <sz val="9"/>
    </font>
    <font>
      <name val="Segoe UI"/>
      <b val="1"/>
      <color rgb="00B45309"/>
      <sz val="11"/>
    </font>
    <font>
      <name val="Segoe UI"/>
      <b val="1"/>
      <color rgb="00B91C1C"/>
      <sz val="9"/>
    </font>
    <font>
      <name val="Segoe UI"/>
      <b val="1"/>
      <color rgb="00B91C1C"/>
      <sz val="11"/>
    </font>
    <font>
      <name val="Segoe UI"/>
      <b val="1"/>
      <color rgb="001E293B"/>
      <sz val="9"/>
    </font>
    <font>
      <name val="Segoe UI"/>
      <b val="1"/>
      <color rgb="001E293B"/>
      <sz val="11"/>
    </font>
    <font>
      <name val="Segoe UI"/>
      <i val="1"/>
      <color rgb="0064748B"/>
      <sz val="10"/>
    </font>
    <font>
      <name val="Segoe UI"/>
      <b val="1"/>
      <color rgb="001D4ED8"/>
      <sz val="12"/>
    </font>
    <font>
      <name val="Segoe UI"/>
      <b val="1"/>
      <color rgb="001D4ED8"/>
      <sz val="11"/>
    </font>
    <font>
      <name val="Segoe UI"/>
      <b val="1"/>
      <color rgb="00B45309"/>
      <sz val="10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3B82F6"/>
        <bgColor rgb="003B82F6"/>
      </patternFill>
    </fill>
    <fill>
      <patternFill patternType="solid">
        <fgColor rgb="00F59E0B"/>
        <bgColor rgb="00F59E0B"/>
      </patternFill>
    </fill>
    <fill>
      <patternFill patternType="solid">
        <fgColor rgb="00EF4444"/>
        <bgColor rgb="00EF4444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0" borderId="1" pivotButton="0" quotePrefix="0" xfId="0"/>
    <xf numFmtId="3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center"/>
    </xf>
    <xf numFmtId="2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7" fillId="8" borderId="1" pivotButton="0" quotePrefix="0" xfId="0"/>
    <xf numFmtId="3" fontId="7" fillId="8" borderId="1" applyAlignment="1" pivotButton="0" quotePrefix="0" xfId="0">
      <alignment horizontal="right"/>
    </xf>
    <xf numFmtId="164" fontId="7" fillId="8" borderId="1" applyAlignment="1" pivotButton="0" quotePrefix="0" xfId="0">
      <alignment horizontal="center"/>
    </xf>
    <xf numFmtId="2" fontId="7" fillId="8" borderId="1" applyAlignment="1" pivotButton="0" quotePrefix="0" xfId="0">
      <alignment horizontal="right"/>
    </xf>
    <xf numFmtId="165" fontId="7" fillId="8" borderId="1" applyAlignment="1" pivotButton="0" quotePrefix="0" xfId="0">
      <alignment horizontal="right"/>
    </xf>
    <xf numFmtId="164" fontId="8" fillId="9" borderId="1" applyAlignment="1" pivotButton="0" quotePrefix="0" xfId="0">
      <alignment horizontal="center"/>
    </xf>
    <xf numFmtId="0" fontId="9" fillId="0" borderId="5" applyAlignment="1" pivotButton="0" quotePrefix="0" xfId="0">
      <alignment horizontal="left"/>
    </xf>
    <xf numFmtId="0" fontId="0" fillId="0" borderId="5" pivotButton="0" quotePrefix="0" xfId="0"/>
    <xf numFmtId="3" fontId="9" fillId="0" borderId="5" pivotButton="0" quotePrefix="0" xfId="0"/>
    <xf numFmtId="164" fontId="9" fillId="0" borderId="5" pivotButton="0" quotePrefix="0" xfId="0"/>
    <xf numFmtId="2" fontId="9" fillId="0" borderId="5" pivotButton="0" quotePrefix="0" xfId="0"/>
    <xf numFmtId="165" fontId="9" fillId="0" borderId="5" pivotButton="0" quotePrefix="0" xfId="0"/>
    <xf numFmtId="0" fontId="7" fillId="0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6" fillId="7" borderId="1" pivotButton="0" quotePrefix="0" xfId="0"/>
    <xf numFmtId="0" fontId="9" fillId="0" borderId="1" pivotButton="0" quotePrefix="0" xfId="0"/>
    <xf numFmtId="164" fontId="10" fillId="10" borderId="1" applyAlignment="1" pivotButton="0" quotePrefix="0" xfId="0">
      <alignment horizontal="center"/>
    </xf>
    <xf numFmtId="164" fontId="11" fillId="11" borderId="1" applyAlignment="1" pivotButton="0" quotePrefix="0" xfId="0">
      <alignment horizontal="center"/>
    </xf>
    <xf numFmtId="2" fontId="8" fillId="9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0" fontId="6" fillId="7" borderId="1" applyAlignment="1" pivotButton="0" quotePrefix="0" xfId="0">
      <alignment horizontal="center"/>
    </xf>
    <xf numFmtId="0" fontId="0" fillId="7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/>
    </xf>
    <xf numFmtId="0" fontId="0" fillId="0" borderId="1" pivotButton="0" quotePrefix="0" xfId="0"/>
    <xf numFmtId="0" fontId="14" fillId="11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166" fontId="13" fillId="10" borderId="1" applyAlignment="1" pivotButton="0" quotePrefix="0" xfId="0">
      <alignment horizontal="center" vertical="center"/>
    </xf>
    <xf numFmtId="166" fontId="15" fillId="11" borderId="1" applyAlignment="1" pivotButton="0" quotePrefix="0" xfId="0">
      <alignment horizontal="center" vertical="center"/>
    </xf>
    <xf numFmtId="166" fontId="17" fillId="9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166" fontId="19" fillId="3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0" fontId="7" fillId="8" borderId="1" applyAlignment="1" pivotButton="0" quotePrefix="0" xfId="0">
      <alignment horizontal="right"/>
    </xf>
    <xf numFmtId="167" fontId="7" fillId="8" borderId="1" applyAlignment="1" pivotButton="0" quotePrefix="0" xfId="0">
      <alignment horizontal="right"/>
    </xf>
    <xf numFmtId="0" fontId="20" fillId="8" borderId="1" applyAlignment="1" pivotButton="0" quotePrefix="0" xfId="0">
      <alignment horizontal="center"/>
    </xf>
    <xf numFmtId="0" fontId="21" fillId="12" borderId="1" applyAlignment="1" pivotButton="0" quotePrefix="0" xfId="0">
      <alignment horizontal="center" vertical="center"/>
    </xf>
    <xf numFmtId="2" fontId="0" fillId="0" borderId="1" pivotButton="0" quotePrefix="0" xfId="0"/>
    <xf numFmtId="3" fontId="0" fillId="0" borderId="1" pivotButton="0" quotePrefix="0" xfId="0"/>
    <xf numFmtId="0" fontId="22" fillId="0" borderId="1" applyAlignment="1" pivotButton="0" quotePrefix="0" xfId="0">
      <alignment horizontal="left" vertical="center"/>
    </xf>
    <xf numFmtId="165" fontId="0" fillId="0" borderId="1" pivotButton="0" quotePrefix="0" xfId="0"/>
    <xf numFmtId="0" fontId="8" fillId="9" borderId="1" applyAlignment="1" pivotButton="0" quotePrefix="0" xfId="0">
      <alignment horizontal="center"/>
    </xf>
    <xf numFmtId="0" fontId="23" fillId="11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0" fontId="9" fillId="0" borderId="5" pivotButton="0" quotePrefix="0" xfId="0"/>
    <xf numFmtId="0" fontId="9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20" customWidth="1" min="4" max="4"/>
    <col width="25" customWidth="1" min="5" max="5"/>
    <col width="25" customWidth="1" min="6" max="6"/>
    <col width="22" customWidth="1" min="7" max="7"/>
    <col width="29" customWidth="1" min="8" max="8"/>
    <col width="24" customWidth="1" min="9" max="9"/>
    <col width="22" customWidth="1" min="10" max="10"/>
    <col width="27" customWidth="1" min="11" max="11"/>
    <col width="12" customWidth="1" min="12" max="12"/>
  </cols>
  <sheetData>
    <row r="1" ht="28" customHeight="1">
      <c r="A1" s="1" t="inlineStr">
        <is>
          <t>SUPPLY CHAIN CONTROL TOWER — EXECUTIVE S&amp;OP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>Global Fulfillment Performance, Working Capital Health &amp; Delivery Risk Exposure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/>
    <row r="4" ht="4" customHeight="1">
      <c r="A4" s="4" t="n"/>
      <c r="B4" s="4" t="n"/>
      <c r="C4" s="4" t="n"/>
      <c r="D4" s="4" t="n"/>
      <c r="E4" s="5" t="n"/>
      <c r="F4" s="5" t="n"/>
      <c r="G4" s="6" t="n"/>
      <c r="H4" s="6" t="n"/>
      <c r="I4" s="6" t="n"/>
      <c r="J4" s="6" t="n"/>
      <c r="K4" s="5" t="n"/>
      <c r="L4" s="5" t="n"/>
    </row>
    <row r="5" ht="26" customHeight="1">
      <c r="A5" s="7" t="inlineStr">
        <is>
          <t>180,519</t>
        </is>
      </c>
      <c r="B5" s="8" t="n"/>
      <c r="C5" s="7" t="inlineStr">
        <is>
          <t>$36,784,735.01</t>
        </is>
      </c>
      <c r="D5" s="8" t="n"/>
      <c r="E5" s="7" t="inlineStr">
        <is>
          <t>45.3%</t>
        </is>
      </c>
      <c r="F5" s="8" t="n"/>
      <c r="G5" s="7" t="inlineStr">
        <is>
          <t>$20,108,983.71</t>
        </is>
      </c>
      <c r="H5" s="8" t="n"/>
      <c r="I5" s="7" t="inlineStr">
        <is>
          <t>0 SKUs</t>
        </is>
      </c>
      <c r="J5" s="8" t="n"/>
      <c r="K5" s="7" t="inlineStr">
        <is>
          <t>0.51 Days</t>
        </is>
      </c>
      <c r="L5" s="8" t="n"/>
    </row>
    <row r="6" ht="16" customHeight="1">
      <c r="A6" s="9" t="inlineStr">
        <is>
          <t>TOTAL ORDER VOLUME
Cumulative global transactions</t>
        </is>
      </c>
      <c r="B6" s="8" t="n"/>
      <c r="C6" s="9" t="inlineStr">
        <is>
          <t>GLOBAL NET SALES
Net Profit: $3,966,902.97</t>
        </is>
      </c>
      <c r="D6" s="8" t="n"/>
      <c r="E6" s="9" t="inlineStr">
        <is>
          <t>OVERALL OTIF RATE
Target SLA: 95.0%</t>
        </is>
      </c>
      <c r="F6" s="8" t="n"/>
      <c r="G6" s="9" t="inlineStr">
        <is>
          <t>LATE REVENUE AT RISK
54.7% of total sales</t>
        </is>
      </c>
      <c r="H6" s="8" t="n"/>
      <c r="I6" s="9" t="inlineStr">
        <is>
          <t>CRITICAL 'AZ' SKUs
High-revenue, erratic demand</t>
        </is>
      </c>
      <c r="J6" s="8" t="n"/>
      <c r="K6" s="9" t="inlineStr">
        <is>
          <t>AVG FULFILLMENT VARIANCE
Real days minus scheduled</t>
        </is>
      </c>
      <c r="L6" s="8" t="n"/>
    </row>
    <row r="7"/>
    <row r="8">
      <c r="A8" s="10" t="inlineStr">
        <is>
          <t>1. FULFILLMENT S&amp;OP BY MARKET &amp; SHIPPING MODE</t>
        </is>
      </c>
    </row>
    <row r="9"/>
    <row r="10" ht="22" customHeight="1">
      <c r="A10" s="11" t="inlineStr">
        <is>
          <t>Market</t>
        </is>
      </c>
      <c r="B10" s="11" t="inlineStr">
        <is>
          <t>Shipping Mode</t>
        </is>
      </c>
      <c r="C10" s="11" t="inlineStr">
        <is>
          <t>Order Volume</t>
        </is>
      </c>
      <c r="D10" s="11" t="inlineStr">
        <is>
          <t>On-Time</t>
        </is>
      </c>
      <c r="E10" s="11" t="inlineStr">
        <is>
          <t>Late</t>
        </is>
      </c>
      <c r="F10" s="12" t="inlineStr">
        <is>
          <t>OTIF %</t>
        </is>
      </c>
      <c r="G10" s="12" t="inlineStr">
        <is>
          <t>Avg Sched (Days)</t>
        </is>
      </c>
      <c r="H10" s="12" t="inlineStr">
        <is>
          <t>Avg Real (Days)</t>
        </is>
      </c>
      <c r="I10" s="12" t="inlineStr">
        <is>
          <t>Delay Variance (Days)</t>
        </is>
      </c>
      <c r="J10" s="11" t="inlineStr">
        <is>
          <t>Route Sales ($)</t>
        </is>
      </c>
      <c r="K10" s="11" t="inlineStr">
        <is>
          <t>Late Revenue at Risk ($)</t>
        </is>
      </c>
    </row>
    <row r="11" ht="18" customHeight="1">
      <c r="A11" s="13" t="inlineStr">
        <is>
          <t>Europe</t>
        </is>
      </c>
      <c r="B11" s="13" t="inlineStr">
        <is>
          <t>Standard Class</t>
        </is>
      </c>
      <c r="C11" s="14" t="n">
        <v>29740</v>
      </c>
      <c r="D11" s="14" t="n">
        <v>17871</v>
      </c>
      <c r="E11" s="14" t="n">
        <v>11869</v>
      </c>
      <c r="F11" s="15" t="n">
        <v>0.6009</v>
      </c>
      <c r="G11" s="16" t="n">
        <v>4</v>
      </c>
      <c r="H11" s="16" t="n">
        <v>3.99</v>
      </c>
      <c r="I11" s="16" t="n">
        <v>-0.01</v>
      </c>
      <c r="J11" s="17" t="n">
        <v>6472139.88</v>
      </c>
      <c r="K11" s="17" t="n">
        <v>2580236.52</v>
      </c>
    </row>
    <row r="12" ht="18" customHeight="1">
      <c r="A12" s="18" t="inlineStr">
        <is>
          <t>LATAM</t>
        </is>
      </c>
      <c r="B12" s="18" t="inlineStr">
        <is>
          <t>Standard Class</t>
        </is>
      </c>
      <c r="C12" s="19" t="n">
        <v>31119</v>
      </c>
      <c r="D12" s="19" t="n">
        <v>18785</v>
      </c>
      <c r="E12" s="19" t="n">
        <v>12334</v>
      </c>
      <c r="F12" s="20" t="n">
        <v>0.6037</v>
      </c>
      <c r="G12" s="21" t="n">
        <v>4</v>
      </c>
      <c r="H12" s="21" t="n">
        <v>3.99</v>
      </c>
      <c r="I12" s="21" t="n">
        <v>-0.01</v>
      </c>
      <c r="J12" s="22" t="n">
        <v>6203386.01</v>
      </c>
      <c r="K12" s="22" t="n">
        <v>2462758.2</v>
      </c>
    </row>
    <row r="13" ht="18" customHeight="1">
      <c r="A13" s="13" t="inlineStr">
        <is>
          <t>Pacific Asia</t>
        </is>
      </c>
      <c r="B13" s="13" t="inlineStr">
        <is>
          <t>Standard Class</t>
        </is>
      </c>
      <c r="C13" s="14" t="n">
        <v>24586</v>
      </c>
      <c r="D13" s="14" t="n">
        <v>14788</v>
      </c>
      <c r="E13" s="14" t="n">
        <v>9798</v>
      </c>
      <c r="F13" s="15" t="n">
        <v>0.6015</v>
      </c>
      <c r="G13" s="16" t="n">
        <v>4</v>
      </c>
      <c r="H13" s="16" t="n">
        <v>4</v>
      </c>
      <c r="I13" s="16" t="n">
        <v>-0</v>
      </c>
      <c r="J13" s="17" t="n">
        <v>4944628.62</v>
      </c>
      <c r="K13" s="17" t="n">
        <v>1958267.73</v>
      </c>
    </row>
    <row r="14" ht="18" customHeight="1">
      <c r="A14" s="18" t="inlineStr">
        <is>
          <t>Europe</t>
        </is>
      </c>
      <c r="B14" s="18" t="inlineStr">
        <is>
          <t>First Class</t>
        </is>
      </c>
      <c r="C14" s="19" t="n">
        <v>7892</v>
      </c>
      <c r="D14" s="19" t="n">
        <v>0</v>
      </c>
      <c r="E14" s="19" t="n">
        <v>7892</v>
      </c>
      <c r="F14" s="23" t="n">
        <v>0</v>
      </c>
      <c r="G14" s="21" t="n">
        <v>1</v>
      </c>
      <c r="H14" s="21" t="n">
        <v>2</v>
      </c>
      <c r="I14" s="21" t="n">
        <v>1</v>
      </c>
      <c r="J14" s="22" t="n">
        <v>1709345.59</v>
      </c>
      <c r="K14" s="22" t="n">
        <v>1709345.59</v>
      </c>
    </row>
    <row r="15" ht="18" customHeight="1">
      <c r="A15" s="13" t="inlineStr">
        <is>
          <t>Europe</t>
        </is>
      </c>
      <c r="B15" s="13" t="inlineStr">
        <is>
          <t>Second Class</t>
        </is>
      </c>
      <c r="C15" s="14" t="n">
        <v>9861</v>
      </c>
      <c r="D15" s="14" t="n">
        <v>1974</v>
      </c>
      <c r="E15" s="14" t="n">
        <v>7887</v>
      </c>
      <c r="F15" s="23" t="n">
        <v>0.2002</v>
      </c>
      <c r="G15" s="16" t="n">
        <v>2</v>
      </c>
      <c r="H15" s="16" t="n">
        <v>4</v>
      </c>
      <c r="I15" s="16" t="n">
        <v>2</v>
      </c>
      <c r="J15" s="17" t="n">
        <v>2112782.83</v>
      </c>
      <c r="K15" s="17" t="n">
        <v>1686758.68</v>
      </c>
    </row>
    <row r="16" ht="18" customHeight="1">
      <c r="A16" s="18" t="inlineStr">
        <is>
          <t>LATAM</t>
        </is>
      </c>
      <c r="B16" s="18" t="inlineStr">
        <is>
          <t>First Class</t>
        </is>
      </c>
      <c r="C16" s="19" t="n">
        <v>7886</v>
      </c>
      <c r="D16" s="19" t="n">
        <v>0</v>
      </c>
      <c r="E16" s="19" t="n">
        <v>7886</v>
      </c>
      <c r="F16" s="23" t="n">
        <v>0</v>
      </c>
      <c r="G16" s="21" t="n">
        <v>1</v>
      </c>
      <c r="H16" s="21" t="n">
        <v>2</v>
      </c>
      <c r="I16" s="21" t="n">
        <v>1</v>
      </c>
      <c r="J16" s="22" t="n">
        <v>1576251.27</v>
      </c>
      <c r="K16" s="22" t="n">
        <v>1576251.27</v>
      </c>
    </row>
    <row r="17" ht="18" customHeight="1">
      <c r="A17" s="13" t="inlineStr">
        <is>
          <t>LATAM</t>
        </is>
      </c>
      <c r="B17" s="13" t="inlineStr">
        <is>
          <t>Second Class</t>
        </is>
      </c>
      <c r="C17" s="14" t="n">
        <v>9939</v>
      </c>
      <c r="D17" s="14" t="n">
        <v>2093</v>
      </c>
      <c r="E17" s="14" t="n">
        <v>7846</v>
      </c>
      <c r="F17" s="23" t="n">
        <v>0.2106</v>
      </c>
      <c r="G17" s="16" t="n">
        <v>2</v>
      </c>
      <c r="H17" s="16" t="n">
        <v>3.98</v>
      </c>
      <c r="I17" s="16" t="n">
        <v>1.98</v>
      </c>
      <c r="J17" s="17" t="n">
        <v>1976253.45</v>
      </c>
      <c r="K17" s="17" t="n">
        <v>1556794.34</v>
      </c>
    </row>
    <row r="18" ht="18" customHeight="1">
      <c r="A18" s="18" t="inlineStr">
        <is>
          <t>Pacific Asia</t>
        </is>
      </c>
      <c r="B18" s="18" t="inlineStr">
        <is>
          <t>Second Class</t>
        </is>
      </c>
      <c r="C18" s="19" t="n">
        <v>8147</v>
      </c>
      <c r="D18" s="19" t="n">
        <v>1595</v>
      </c>
      <c r="E18" s="19" t="n">
        <v>6552</v>
      </c>
      <c r="F18" s="23" t="n">
        <v>0.1958</v>
      </c>
      <c r="G18" s="21" t="n">
        <v>2</v>
      </c>
      <c r="H18" s="21" t="n">
        <v>4</v>
      </c>
      <c r="I18" s="21" t="n">
        <v>2</v>
      </c>
      <c r="J18" s="22" t="n">
        <v>1630464.71</v>
      </c>
      <c r="K18" s="22" t="n">
        <v>1319806.66</v>
      </c>
    </row>
    <row r="19" ht="18" customHeight="1">
      <c r="A19" s="13" t="inlineStr">
        <is>
          <t>Pacific Asia</t>
        </is>
      </c>
      <c r="B19" s="13" t="inlineStr">
        <is>
          <t>First Class</t>
        </is>
      </c>
      <c r="C19" s="14" t="n">
        <v>6301</v>
      </c>
      <c r="D19" s="14" t="n">
        <v>0</v>
      </c>
      <c r="E19" s="14" t="n">
        <v>6301</v>
      </c>
      <c r="F19" s="23" t="n">
        <v>0</v>
      </c>
      <c r="G19" s="16" t="n">
        <v>1</v>
      </c>
      <c r="H19" s="16" t="n">
        <v>2</v>
      </c>
      <c r="I19" s="16" t="n">
        <v>1</v>
      </c>
      <c r="J19" s="17" t="n">
        <v>1269299.52</v>
      </c>
      <c r="K19" s="17" t="n">
        <v>1269299.52</v>
      </c>
    </row>
    <row r="20" ht="18" customHeight="1">
      <c r="A20" s="18" t="inlineStr">
        <is>
          <t>USCA</t>
        </is>
      </c>
      <c r="B20" s="18" t="inlineStr">
        <is>
          <t>Standard Class</t>
        </is>
      </c>
      <c r="C20" s="19" t="n">
        <v>15252</v>
      </c>
      <c r="D20" s="19" t="n">
        <v>9224</v>
      </c>
      <c r="E20" s="19" t="n">
        <v>6028</v>
      </c>
      <c r="F20" s="20" t="n">
        <v>0.6048</v>
      </c>
      <c r="G20" s="21" t="n">
        <v>4</v>
      </c>
      <c r="H20" s="21" t="n">
        <v>4</v>
      </c>
      <c r="I20" s="21" t="n">
        <v>-0</v>
      </c>
      <c r="J20" s="22" t="n">
        <v>3004455.58</v>
      </c>
      <c r="K20" s="22" t="n">
        <v>1177710.79</v>
      </c>
    </row>
    <row r="21" ht="18" customHeight="1">
      <c r="A21" s="13" t="inlineStr">
        <is>
          <t>USCA</t>
        </is>
      </c>
      <c r="B21" s="13" t="inlineStr">
        <is>
          <t>Second Class</t>
        </is>
      </c>
      <c r="C21" s="14" t="n">
        <v>5105</v>
      </c>
      <c r="D21" s="14" t="n">
        <v>1044</v>
      </c>
      <c r="E21" s="14" t="n">
        <v>4061</v>
      </c>
      <c r="F21" s="23" t="n">
        <v>0.2045</v>
      </c>
      <c r="G21" s="16" t="n">
        <v>2</v>
      </c>
      <c r="H21" s="16" t="n">
        <v>3.98</v>
      </c>
      <c r="I21" s="16" t="n">
        <v>1.98</v>
      </c>
      <c r="J21" s="17" t="n">
        <v>1000576.55</v>
      </c>
      <c r="K21" s="17" t="n">
        <v>793225.92</v>
      </c>
    </row>
    <row r="22" ht="18" customHeight="1">
      <c r="A22" s="18" t="inlineStr">
        <is>
          <t>USCA</t>
        </is>
      </c>
      <c r="B22" s="18" t="inlineStr">
        <is>
          <t>First Class</t>
        </is>
      </c>
      <c r="C22" s="19" t="n">
        <v>4008</v>
      </c>
      <c r="D22" s="19" t="n">
        <v>0</v>
      </c>
      <c r="E22" s="19" t="n">
        <v>4008</v>
      </c>
      <c r="F22" s="23" t="n">
        <v>0</v>
      </c>
      <c r="G22" s="21" t="n">
        <v>1</v>
      </c>
      <c r="H22" s="21" t="n">
        <v>2</v>
      </c>
      <c r="I22" s="21" t="n">
        <v>1</v>
      </c>
      <c r="J22" s="22" t="n">
        <v>782642.47</v>
      </c>
      <c r="K22" s="22" t="n">
        <v>782642.47</v>
      </c>
    </row>
    <row r="23" ht="18" customHeight="1">
      <c r="A23" s="13" t="inlineStr">
        <is>
          <t>Africa</t>
        </is>
      </c>
      <c r="B23" s="13" t="inlineStr">
        <is>
          <t>Standard Class</t>
        </is>
      </c>
      <c r="C23" s="14" t="n">
        <v>7055</v>
      </c>
      <c r="D23" s="14" t="n">
        <v>4233</v>
      </c>
      <c r="E23" s="14" t="n">
        <v>2822</v>
      </c>
      <c r="F23" s="15" t="n">
        <v>0.6</v>
      </c>
      <c r="G23" s="16" t="n">
        <v>4</v>
      </c>
      <c r="H23" s="16" t="n">
        <v>4.02</v>
      </c>
      <c r="I23" s="16" t="n">
        <v>0.02</v>
      </c>
      <c r="J23" s="17" t="n">
        <v>1397781.79</v>
      </c>
      <c r="K23" s="17" t="n">
        <v>557424.85</v>
      </c>
    </row>
    <row r="24" ht="18" customHeight="1">
      <c r="A24" s="18" t="inlineStr">
        <is>
          <t>Africa</t>
        </is>
      </c>
      <c r="B24" s="18" t="inlineStr">
        <is>
          <t>Second Class</t>
        </is>
      </c>
      <c r="C24" s="19" t="n">
        <v>2164</v>
      </c>
      <c r="D24" s="19" t="n">
        <v>432</v>
      </c>
      <c r="E24" s="19" t="n">
        <v>1732</v>
      </c>
      <c r="F24" s="23" t="n">
        <v>0.1996</v>
      </c>
      <c r="G24" s="21" t="n">
        <v>2</v>
      </c>
      <c r="H24" s="21" t="n">
        <v>3.98</v>
      </c>
      <c r="I24" s="21" t="n">
        <v>1.98</v>
      </c>
      <c r="J24" s="22" t="n">
        <v>425367.28</v>
      </c>
      <c r="K24" s="22" t="n">
        <v>341630.28</v>
      </c>
    </row>
    <row r="25" ht="18" customHeight="1">
      <c r="A25" s="13" t="inlineStr">
        <is>
          <t>Africa</t>
        </is>
      </c>
      <c r="B25" s="13" t="inlineStr">
        <is>
          <t>First Class</t>
        </is>
      </c>
      <c r="C25" s="14" t="n">
        <v>1727</v>
      </c>
      <c r="D25" s="14" t="n">
        <v>0</v>
      </c>
      <c r="E25" s="14" t="n">
        <v>1727</v>
      </c>
      <c r="F25" s="23" t="n">
        <v>0</v>
      </c>
      <c r="G25" s="16" t="n">
        <v>1</v>
      </c>
      <c r="H25" s="16" t="n">
        <v>2</v>
      </c>
      <c r="I25" s="16" t="n">
        <v>1</v>
      </c>
      <c r="J25" s="17" t="n">
        <v>336830.91</v>
      </c>
      <c r="K25" s="17" t="n">
        <v>336830.91</v>
      </c>
    </row>
    <row r="26" ht="18" customHeight="1">
      <c r="A26" s="18" t="inlineStr">
        <is>
          <t>Africa</t>
        </is>
      </c>
      <c r="B26" s="18" t="inlineStr">
        <is>
          <t>Same Day</t>
        </is>
      </c>
      <c r="C26" s="19" t="n">
        <v>668</v>
      </c>
      <c r="D26" s="19" t="n">
        <v>668</v>
      </c>
      <c r="E26" s="19" t="n">
        <v>0</v>
      </c>
      <c r="F26" s="20" t="n">
        <v>1</v>
      </c>
      <c r="G26" s="21" t="n">
        <v>1</v>
      </c>
      <c r="H26" s="21" t="n">
        <v>0.47</v>
      </c>
      <c r="I26" s="21" t="n">
        <v>-0.53</v>
      </c>
      <c r="J26" s="22" t="n">
        <v>134472.95</v>
      </c>
      <c r="K26" s="22" t="n">
        <v>0</v>
      </c>
    </row>
    <row r="27" ht="18" customHeight="1">
      <c r="A27" s="13" t="inlineStr">
        <is>
          <t>Europe</t>
        </is>
      </c>
      <c r="B27" s="13" t="inlineStr">
        <is>
          <t>Same Day</t>
        </is>
      </c>
      <c r="C27" s="14" t="n">
        <v>2759</v>
      </c>
      <c r="D27" s="14" t="n">
        <v>2759</v>
      </c>
      <c r="E27" s="14" t="n">
        <v>0</v>
      </c>
      <c r="F27" s="15" t="n">
        <v>1</v>
      </c>
      <c r="G27" s="16" t="n">
        <v>1</v>
      </c>
      <c r="H27" s="16" t="n">
        <v>0.49</v>
      </c>
      <c r="I27" s="16" t="n">
        <v>-0.51</v>
      </c>
      <c r="J27" s="17" t="n">
        <v>578128.49</v>
      </c>
      <c r="K27" s="17" t="n">
        <v>0</v>
      </c>
    </row>
    <row r="28" ht="18" customHeight="1">
      <c r="A28" s="18" t="inlineStr">
        <is>
          <t>LATAM</t>
        </is>
      </c>
      <c r="B28" s="18" t="inlineStr">
        <is>
          <t>Same Day</t>
        </is>
      </c>
      <c r="C28" s="19" t="n">
        <v>2650</v>
      </c>
      <c r="D28" s="19" t="n">
        <v>2650</v>
      </c>
      <c r="E28" s="19" t="n">
        <v>0</v>
      </c>
      <c r="F28" s="20" t="n">
        <v>1</v>
      </c>
      <c r="G28" s="21" t="n">
        <v>1</v>
      </c>
      <c r="H28" s="21" t="n">
        <v>0.51</v>
      </c>
      <c r="I28" s="21" t="n">
        <v>-0.49</v>
      </c>
      <c r="J28" s="22" t="n">
        <v>521722.11</v>
      </c>
      <c r="K28" s="22" t="n">
        <v>0</v>
      </c>
    </row>
    <row r="29" ht="18" customHeight="1">
      <c r="A29" s="13" t="inlineStr">
        <is>
          <t>Pacific Asia</t>
        </is>
      </c>
      <c r="B29" s="13" t="inlineStr">
        <is>
          <t>Same Day</t>
        </is>
      </c>
      <c r="C29" s="14" t="n">
        <v>2226</v>
      </c>
      <c r="D29" s="14" t="n">
        <v>2226</v>
      </c>
      <c r="E29" s="14" t="n">
        <v>0</v>
      </c>
      <c r="F29" s="15" t="n">
        <v>1</v>
      </c>
      <c r="G29" s="16" t="n">
        <v>1</v>
      </c>
      <c r="H29" s="16" t="n">
        <v>0.45</v>
      </c>
      <c r="I29" s="16" t="n">
        <v>-0.55</v>
      </c>
      <c r="J29" s="17" t="n">
        <v>429350.89</v>
      </c>
      <c r="K29" s="17" t="n">
        <v>0</v>
      </c>
    </row>
    <row r="30" ht="18" customHeight="1">
      <c r="A30" s="18" t="inlineStr">
        <is>
          <t>USCA</t>
        </is>
      </c>
      <c r="B30" s="18" t="inlineStr">
        <is>
          <t>Same Day</t>
        </is>
      </c>
      <c r="C30" s="19" t="n">
        <v>1434</v>
      </c>
      <c r="D30" s="19" t="n">
        <v>1434</v>
      </c>
      <c r="E30" s="19" t="n">
        <v>0</v>
      </c>
      <c r="F30" s="20" t="n">
        <v>1</v>
      </c>
      <c r="G30" s="21" t="n">
        <v>1</v>
      </c>
      <c r="H30" s="21" t="n">
        <v>0.45</v>
      </c>
      <c r="I30" s="21" t="n">
        <v>-0.55</v>
      </c>
      <c r="J30" s="22" t="n">
        <v>278854.12</v>
      </c>
      <c r="K30" s="22" t="n">
        <v>0</v>
      </c>
    </row>
    <row r="31" ht="20" customHeight="1">
      <c r="A31" s="24" t="inlineStr">
        <is>
          <t>TOTAL / ENTERPRISE AVERAGE</t>
        </is>
      </c>
      <c r="B31" s="25" t="n"/>
      <c r="C31" s="26">
        <f>SUM(C11:C30)</f>
        <v/>
      </c>
      <c r="D31" s="26">
        <f>SUM(D11:D30)</f>
        <v/>
      </c>
      <c r="E31" s="26">
        <f>SUM(E11:E30)</f>
        <v/>
      </c>
      <c r="F31" s="27">
        <f>D31/C31</f>
        <v/>
      </c>
      <c r="G31" s="28">
        <f>AVERAGE(G11:G30)</f>
        <v/>
      </c>
      <c r="H31" s="28">
        <f>AVERAGE(H11:H30)</f>
        <v/>
      </c>
      <c r="I31" s="28">
        <f>AVERAGE(I11:I30)</f>
        <v/>
      </c>
      <c r="J31" s="29">
        <f>SUM(J11:J30)</f>
        <v/>
      </c>
      <c r="K31" s="29">
        <f>SUM(K11:K30)</f>
        <v/>
      </c>
    </row>
    <row r="32"/>
    <row r="33"/>
    <row r="34">
      <c r="A34" s="10" t="inlineStr">
        <is>
          <t>2. PROFIT EROSION ANALYSIS: ON-TIME VS LATE DELIVERIES</t>
        </is>
      </c>
    </row>
    <row r="35" ht="22" customHeight="1">
      <c r="A35" s="12" t="inlineStr">
        <is>
          <t>Market</t>
        </is>
      </c>
      <c r="B35" s="12" t="inlineStr">
        <is>
          <t>On-Time Orders</t>
        </is>
      </c>
      <c r="C35" s="12" t="inlineStr">
        <is>
          <t>Late Orders</t>
        </is>
      </c>
      <c r="D35" s="12" t="inlineStr">
        <is>
          <t>On-Time Sales ($)</t>
        </is>
      </c>
      <c r="E35" s="12" t="inlineStr">
        <is>
          <t>Late Sales at Risk ($)</t>
        </is>
      </c>
      <c r="F35" s="12" t="inlineStr">
        <is>
          <t>On-Time Avg Profit ($)</t>
        </is>
      </c>
      <c r="G35" s="12" t="inlineStr">
        <is>
          <t>Late Avg Profit ($)</t>
        </is>
      </c>
      <c r="H35" s="12" t="inlineStr">
        <is>
          <t>Profit Erosion / Order ($)</t>
        </is>
      </c>
      <c r="I35" s="12" t="inlineStr">
        <is>
          <t>On-Time Margin %</t>
        </is>
      </c>
      <c r="J35" s="12" t="inlineStr">
        <is>
          <t>Late Margin %</t>
        </is>
      </c>
      <c r="K35" s="12" t="inlineStr">
        <is>
          <t>Margin Compression %</t>
        </is>
      </c>
    </row>
    <row r="36" ht="18" customHeight="1">
      <c r="A36" s="13" t="inlineStr">
        <is>
          <t>Europe</t>
        </is>
      </c>
      <c r="B36" s="14" t="n">
        <v>22604</v>
      </c>
      <c r="C36" s="14" t="n">
        <v>27648</v>
      </c>
      <c r="D36" s="17" t="n">
        <v>4896056.01</v>
      </c>
      <c r="E36" s="17" t="n">
        <v>5976340.79</v>
      </c>
      <c r="F36" s="17" t="n">
        <v>23.93</v>
      </c>
      <c r="G36" s="17" t="n">
        <v>22.74</v>
      </c>
      <c r="H36" s="17" t="n">
        <v>1.19</v>
      </c>
      <c r="I36" s="15" t="n">
        <v>0.1105</v>
      </c>
      <c r="J36" s="15" t="n">
        <v>0.1052</v>
      </c>
      <c r="K36" s="15" t="n">
        <v>0.0053</v>
      </c>
    </row>
    <row r="37" ht="18" customHeight="1">
      <c r="A37" s="18" t="inlineStr">
        <is>
          <t>USCA</t>
        </is>
      </c>
      <c r="B37" s="19" t="n">
        <v>11702</v>
      </c>
      <c r="C37" s="19" t="n">
        <v>14097</v>
      </c>
      <c r="D37" s="22" t="n">
        <v>2312949.54</v>
      </c>
      <c r="E37" s="22" t="n">
        <v>2753579.18</v>
      </c>
      <c r="F37" s="22" t="n">
        <v>22.39</v>
      </c>
      <c r="G37" s="22" t="n">
        <v>21.44</v>
      </c>
      <c r="H37" s="22" t="n">
        <v>0.95</v>
      </c>
      <c r="I37" s="20" t="n">
        <v>0.1133</v>
      </c>
      <c r="J37" s="20" t="n">
        <v>0.1098</v>
      </c>
      <c r="K37" s="20" t="n">
        <v>0.0035</v>
      </c>
    </row>
    <row r="38" ht="18" customHeight="1">
      <c r="A38" s="13" t="inlineStr">
        <is>
          <t>Africa</t>
        </is>
      </c>
      <c r="B38" s="14" t="n">
        <v>5333</v>
      </c>
      <c r="C38" s="14" t="n">
        <v>6281</v>
      </c>
      <c r="D38" s="17" t="n">
        <v>1058566.89</v>
      </c>
      <c r="E38" s="17" t="n">
        <v>1235886.03</v>
      </c>
      <c r="F38" s="17" t="n">
        <v>21.97</v>
      </c>
      <c r="G38" s="17" t="n">
        <v>21.48</v>
      </c>
      <c r="H38" s="17" t="n">
        <v>0.49</v>
      </c>
      <c r="I38" s="15" t="n">
        <v>0.1107</v>
      </c>
      <c r="J38" s="15" t="n">
        <v>0.1092</v>
      </c>
      <c r="K38" s="15" t="n">
        <v>0.0015</v>
      </c>
    </row>
    <row r="39" ht="18" customHeight="1">
      <c r="A39" s="18" t="inlineStr">
        <is>
          <t>LATAM</t>
        </is>
      </c>
      <c r="B39" s="19" t="n">
        <v>23528</v>
      </c>
      <c r="C39" s="19" t="n">
        <v>28066</v>
      </c>
      <c r="D39" s="22" t="n">
        <v>4681809.03</v>
      </c>
      <c r="E39" s="22" t="n">
        <v>5595803.81</v>
      </c>
      <c r="F39" s="22" t="n">
        <v>21.97</v>
      </c>
      <c r="G39" s="22" t="n">
        <v>21.61</v>
      </c>
      <c r="H39" s="22" t="n">
        <v>0.36</v>
      </c>
      <c r="I39" s="20" t="n">
        <v>0.1104</v>
      </c>
      <c r="J39" s="20" t="n">
        <v>0.1084</v>
      </c>
      <c r="K39" s="20" t="n">
        <v>0.002</v>
      </c>
    </row>
    <row r="40" ht="18" customHeight="1">
      <c r="A40" s="13" t="inlineStr">
        <is>
          <t>Pacific Asia</t>
        </is>
      </c>
      <c r="B40" s="14" t="n">
        <v>18609</v>
      </c>
      <c r="C40" s="14" t="n">
        <v>22651</v>
      </c>
      <c r="D40" s="17" t="n">
        <v>3726369.83</v>
      </c>
      <c r="E40" s="17" t="n">
        <v>4547373.91</v>
      </c>
      <c r="F40" s="17" t="n">
        <v>20.65</v>
      </c>
      <c r="G40" s="17" t="n">
        <v>20.9</v>
      </c>
      <c r="H40" s="17" t="n">
        <v>-0.25</v>
      </c>
      <c r="I40" s="15" t="n">
        <v>0.1031</v>
      </c>
      <c r="J40" s="15" t="n">
        <v>0.1041</v>
      </c>
      <c r="K40" s="15" t="n">
        <v>-0.001</v>
      </c>
    </row>
  </sheetData>
  <mergeCells count="14">
    <mergeCell ref="A2:L2"/>
    <mergeCell ref="E6:F6"/>
    <mergeCell ref="C6:D6"/>
    <mergeCell ref="I6:J6"/>
    <mergeCell ref="A1:L1"/>
    <mergeCell ref="C5:D5"/>
    <mergeCell ref="A5:B5"/>
    <mergeCell ref="G5:H5"/>
    <mergeCell ref="E5:F5"/>
    <mergeCell ref="K5:L5"/>
    <mergeCell ref="I5:J5"/>
    <mergeCell ref="G6:H6"/>
    <mergeCell ref="K6:L6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8" customWidth="1" min="3" max="3"/>
    <col width="17" customWidth="1" min="4" max="4"/>
    <col width="17" customWidth="1" min="5" max="5"/>
    <col width="15" customWidth="1" min="6" max="6"/>
    <col width="22" customWidth="1" min="7" max="7"/>
    <col width="19" customWidth="1" min="8" max="8"/>
    <col width="19" customWidth="1" min="9" max="9"/>
    <col width="26" customWidth="1" min="10" max="10"/>
  </cols>
  <sheetData>
    <row r="1" ht="28" customHeight="1">
      <c r="A1" s="1" t="inlineStr">
        <is>
          <t>MONTHLY FULFILLMENT &amp; REVENUE TRAJECTORY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Chronological Trend Analysis of OTIF Reliability, Delay Variance, and Delayed Revenue Exposure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/>
    <row r="4" ht="22" customHeight="1">
      <c r="A4" s="12" t="inlineStr">
        <is>
          <t>Year-Month</t>
        </is>
      </c>
      <c r="B4" s="12" t="inlineStr">
        <is>
          <t>Total Orders</t>
        </is>
      </c>
      <c r="C4" s="12" t="inlineStr">
        <is>
          <t>Net Revenue ($)</t>
        </is>
      </c>
      <c r="D4" s="12" t="inlineStr">
        <is>
          <t>Net Profit ($)</t>
        </is>
      </c>
      <c r="E4" s="12" t="inlineStr">
        <is>
          <t>On-Time Orders</t>
        </is>
      </c>
      <c r="F4" s="12" t="inlineStr">
        <is>
          <t>Late Orders</t>
        </is>
      </c>
      <c r="G4" s="12" t="inlineStr">
        <is>
          <t>Monthly OTIF %</t>
        </is>
      </c>
      <c r="H4" s="12" t="inlineStr">
        <is>
          <t>Avg Delay (Days)</t>
        </is>
      </c>
      <c r="I4" s="12" t="inlineStr">
        <is>
          <t>Late Revenue ($)</t>
        </is>
      </c>
      <c r="J4" s="12" t="inlineStr">
        <is>
          <t>Monthly Profit Margin %</t>
        </is>
      </c>
    </row>
    <row r="5" ht="18" customHeight="1">
      <c r="A5" s="30" t="inlineStr">
        <is>
          <t>2015-01</t>
        </is>
      </c>
      <c r="B5" s="14" t="n">
        <v>5322</v>
      </c>
      <c r="C5" s="17" t="n">
        <v>1051590.08</v>
      </c>
      <c r="D5" s="17" t="n">
        <v>111660.74</v>
      </c>
      <c r="E5" s="14" t="n">
        <v>2470</v>
      </c>
      <c r="F5" s="14" t="n">
        <v>2852</v>
      </c>
      <c r="G5" s="23" t="n">
        <v>0.4641</v>
      </c>
      <c r="H5" s="16" t="n">
        <v>0.49</v>
      </c>
      <c r="I5" s="17" t="n">
        <v>566158.23</v>
      </c>
      <c r="J5" s="15" t="n">
        <v>0.1061827627738748</v>
      </c>
    </row>
    <row r="6" ht="18" customHeight="1">
      <c r="A6" s="31" t="inlineStr">
        <is>
          <t>2015-02</t>
        </is>
      </c>
      <c r="B6" s="19" t="n">
        <v>4729</v>
      </c>
      <c r="C6" s="22" t="n">
        <v>927009.9</v>
      </c>
      <c r="D6" s="22" t="n">
        <v>99140.66</v>
      </c>
      <c r="E6" s="19" t="n">
        <v>2139</v>
      </c>
      <c r="F6" s="19" t="n">
        <v>2590</v>
      </c>
      <c r="G6" s="23" t="n">
        <v>0.4523</v>
      </c>
      <c r="H6" s="21" t="n">
        <v>0.54</v>
      </c>
      <c r="I6" s="22" t="n">
        <v>505388.51</v>
      </c>
      <c r="J6" s="20" t="n">
        <v>0.1069467111408411</v>
      </c>
    </row>
    <row r="7" ht="18" customHeight="1">
      <c r="A7" s="30" t="inlineStr">
        <is>
          <t>2015-03</t>
        </is>
      </c>
      <c r="B7" s="14" t="n">
        <v>5362</v>
      </c>
      <c r="C7" s="17" t="n">
        <v>1051253.69</v>
      </c>
      <c r="D7" s="17" t="n">
        <v>113778.21</v>
      </c>
      <c r="E7" s="14" t="n">
        <v>2411</v>
      </c>
      <c r="F7" s="14" t="n">
        <v>2951</v>
      </c>
      <c r="G7" s="23" t="n">
        <v>0.4496</v>
      </c>
      <c r="H7" s="16" t="n">
        <v>0.52</v>
      </c>
      <c r="I7" s="17" t="n">
        <v>572573.12</v>
      </c>
      <c r="J7" s="15" t="n">
        <v>0.1082309732487122</v>
      </c>
    </row>
    <row r="8" ht="18" customHeight="1">
      <c r="A8" s="31" t="inlineStr">
        <is>
          <t>2015-04</t>
        </is>
      </c>
      <c r="B8" s="19" t="n">
        <v>5126</v>
      </c>
      <c r="C8" s="22" t="n">
        <v>1014463.28</v>
      </c>
      <c r="D8" s="22" t="n">
        <v>108083.68</v>
      </c>
      <c r="E8" s="19" t="n">
        <v>2375</v>
      </c>
      <c r="F8" s="19" t="n">
        <v>2751</v>
      </c>
      <c r="G8" s="23" t="n">
        <v>0.4633</v>
      </c>
      <c r="H8" s="21" t="n">
        <v>0.5</v>
      </c>
      <c r="I8" s="22" t="n">
        <v>547849.01</v>
      </c>
      <c r="J8" s="20" t="n">
        <v>0.1065427227686348</v>
      </c>
    </row>
    <row r="9" ht="18" customHeight="1">
      <c r="A9" s="30" t="inlineStr">
        <is>
          <t>2015-05</t>
        </is>
      </c>
      <c r="B9" s="14" t="n">
        <v>5357</v>
      </c>
      <c r="C9" s="17" t="n">
        <v>1050478.44</v>
      </c>
      <c r="D9" s="17" t="n">
        <v>112147.9</v>
      </c>
      <c r="E9" s="14" t="n">
        <v>2396</v>
      </c>
      <c r="F9" s="14" t="n">
        <v>2961</v>
      </c>
      <c r="G9" s="23" t="n">
        <v>0.4473</v>
      </c>
      <c r="H9" s="16" t="n">
        <v>0.51</v>
      </c>
      <c r="I9" s="17" t="n">
        <v>581333.47</v>
      </c>
      <c r="J9" s="15" t="n">
        <v>0.1067588783640338</v>
      </c>
    </row>
    <row r="10" ht="18" customHeight="1">
      <c r="A10" s="31" t="inlineStr">
        <is>
          <t>2015-06</t>
        </is>
      </c>
      <c r="B10" s="19" t="n">
        <v>5134</v>
      </c>
      <c r="C10" s="22" t="n">
        <v>1024006.17</v>
      </c>
      <c r="D10" s="22" t="n">
        <v>110147.16</v>
      </c>
      <c r="E10" s="19" t="n">
        <v>2357</v>
      </c>
      <c r="F10" s="19" t="n">
        <v>2777</v>
      </c>
      <c r="G10" s="23" t="n">
        <v>0.4591</v>
      </c>
      <c r="H10" s="21" t="n">
        <v>0.49</v>
      </c>
      <c r="I10" s="22" t="n">
        <v>555050.97</v>
      </c>
      <c r="J10" s="20" t="n">
        <v>0.1075649378167321</v>
      </c>
    </row>
    <row r="11" ht="18" customHeight="1">
      <c r="A11" s="30" t="inlineStr">
        <is>
          <t>2015-07</t>
        </is>
      </c>
      <c r="B11" s="14" t="n">
        <v>5299</v>
      </c>
      <c r="C11" s="17" t="n">
        <v>1038081.19</v>
      </c>
      <c r="D11" s="17" t="n">
        <v>115624.06</v>
      </c>
      <c r="E11" s="14" t="n">
        <v>2393</v>
      </c>
      <c r="F11" s="14" t="n">
        <v>2906</v>
      </c>
      <c r="G11" s="23" t="n">
        <v>0.4515999999999999</v>
      </c>
      <c r="H11" s="16" t="n">
        <v>0.5</v>
      </c>
      <c r="I11" s="17" t="n">
        <v>570930.23</v>
      </c>
      <c r="J11" s="15" t="n">
        <v>0.1113824825204664</v>
      </c>
    </row>
    <row r="12" ht="18" customHeight="1">
      <c r="A12" s="31" t="inlineStr">
        <is>
          <t>2015-08</t>
        </is>
      </c>
      <c r="B12" s="19" t="n">
        <v>5273</v>
      </c>
      <c r="C12" s="22" t="n">
        <v>1029494.69</v>
      </c>
      <c r="D12" s="22" t="n">
        <v>117979.77</v>
      </c>
      <c r="E12" s="19" t="n">
        <v>2328</v>
      </c>
      <c r="F12" s="19" t="n">
        <v>2945</v>
      </c>
      <c r="G12" s="23" t="n">
        <v>0.4415</v>
      </c>
      <c r="H12" s="21" t="n">
        <v>0.55</v>
      </c>
      <c r="I12" s="22" t="n">
        <v>580232.8100000001</v>
      </c>
      <c r="J12" s="20" t="n">
        <v>0.1145996877361262</v>
      </c>
    </row>
    <row r="13" ht="18" customHeight="1">
      <c r="A13" s="30" t="inlineStr">
        <is>
          <t>2015-09</t>
        </is>
      </c>
      <c r="B13" s="14" t="n">
        <v>5140</v>
      </c>
      <c r="C13" s="17" t="n">
        <v>1018338.6</v>
      </c>
      <c r="D13" s="17" t="n">
        <v>113467.94</v>
      </c>
      <c r="E13" s="14" t="n">
        <v>2207</v>
      </c>
      <c r="F13" s="14" t="n">
        <v>2933</v>
      </c>
      <c r="G13" s="23" t="n">
        <v>0.4294</v>
      </c>
      <c r="H13" s="16" t="n">
        <v>0.54</v>
      </c>
      <c r="I13" s="17" t="n">
        <v>581351.01</v>
      </c>
      <c r="J13" s="15" t="n">
        <v>0.1114245693917524</v>
      </c>
    </row>
    <row r="14" ht="18" customHeight="1">
      <c r="A14" s="31" t="inlineStr">
        <is>
          <t>2015-10</t>
        </is>
      </c>
      <c r="B14" s="19" t="n">
        <v>5302</v>
      </c>
      <c r="C14" s="22" t="n">
        <v>1049154.27</v>
      </c>
      <c r="D14" s="22" t="n">
        <v>101757.87</v>
      </c>
      <c r="E14" s="19" t="n">
        <v>2432</v>
      </c>
      <c r="F14" s="19" t="n">
        <v>2870</v>
      </c>
      <c r="G14" s="23" t="n">
        <v>0.4587</v>
      </c>
      <c r="H14" s="21" t="n">
        <v>0.49</v>
      </c>
      <c r="I14" s="22" t="n">
        <v>563761.0699999999</v>
      </c>
      <c r="J14" s="20" t="n">
        <v>0.09699037873619863</v>
      </c>
    </row>
    <row r="15" ht="18" customHeight="1">
      <c r="A15" s="30" t="inlineStr">
        <is>
          <t>2015-11</t>
        </is>
      </c>
      <c r="B15" s="14" t="n">
        <v>5235</v>
      </c>
      <c r="C15" s="17" t="n">
        <v>1029120.24</v>
      </c>
      <c r="D15" s="17" t="n">
        <v>104427.36</v>
      </c>
      <c r="E15" s="14" t="n">
        <v>2391</v>
      </c>
      <c r="F15" s="14" t="n">
        <v>2844</v>
      </c>
      <c r="G15" s="23" t="n">
        <v>0.4567</v>
      </c>
      <c r="H15" s="16" t="n">
        <v>0.51</v>
      </c>
      <c r="I15" s="17" t="n">
        <v>561851.48</v>
      </c>
      <c r="J15" s="15" t="n">
        <v>0.1014724576789977</v>
      </c>
    </row>
    <row r="16" ht="18" customHeight="1">
      <c r="A16" s="31" t="inlineStr">
        <is>
          <t>2015-12</t>
        </is>
      </c>
      <c r="B16" s="19" t="n">
        <v>5371</v>
      </c>
      <c r="C16" s="22" t="n">
        <v>1057840.88</v>
      </c>
      <c r="D16" s="22" t="n">
        <v>110641.55</v>
      </c>
      <c r="E16" s="19" t="n">
        <v>2416</v>
      </c>
      <c r="F16" s="19" t="n">
        <v>2955</v>
      </c>
      <c r="G16" s="23" t="n">
        <v>0.4498</v>
      </c>
      <c r="H16" s="21" t="n">
        <v>0.5</v>
      </c>
      <c r="I16" s="22" t="n">
        <v>583150.97</v>
      </c>
      <c r="J16" s="20" t="n">
        <v>0.1045918645155782</v>
      </c>
    </row>
    <row r="17" ht="18" customHeight="1">
      <c r="A17" s="30" t="inlineStr">
        <is>
          <t>2016-01</t>
        </is>
      </c>
      <c r="B17" s="14" t="n">
        <v>5317</v>
      </c>
      <c r="C17" s="17" t="n">
        <v>1046308.25</v>
      </c>
      <c r="D17" s="17" t="n">
        <v>106780.95</v>
      </c>
      <c r="E17" s="14" t="n">
        <v>2396</v>
      </c>
      <c r="F17" s="14" t="n">
        <v>2921</v>
      </c>
      <c r="G17" s="23" t="n">
        <v>0.4506</v>
      </c>
      <c r="H17" s="16" t="n">
        <v>0.53</v>
      </c>
      <c r="I17" s="17" t="n">
        <v>569655.6899999999</v>
      </c>
      <c r="J17" s="15" t="n">
        <v>0.1020549632481632</v>
      </c>
    </row>
    <row r="18" ht="18" customHeight="1">
      <c r="A18" s="31" t="inlineStr">
        <is>
          <t>2016-02</t>
        </is>
      </c>
      <c r="B18" s="19" t="n">
        <v>4894</v>
      </c>
      <c r="C18" s="22" t="n">
        <v>968542.85</v>
      </c>
      <c r="D18" s="22" t="n">
        <v>86809.49000000001</v>
      </c>
      <c r="E18" s="19" t="n">
        <v>2218</v>
      </c>
      <c r="F18" s="19" t="n">
        <v>2676</v>
      </c>
      <c r="G18" s="23" t="n">
        <v>0.4532</v>
      </c>
      <c r="H18" s="21" t="n">
        <v>0.5</v>
      </c>
      <c r="I18" s="22" t="n">
        <v>532013.9</v>
      </c>
      <c r="J18" s="20" t="n">
        <v>0.08962896169229891</v>
      </c>
    </row>
    <row r="19" ht="18" customHeight="1">
      <c r="A19" s="30" t="inlineStr">
        <is>
          <t>2016-03</t>
        </is>
      </c>
      <c r="B19" s="14" t="n">
        <v>5210</v>
      </c>
      <c r="C19" s="17" t="n">
        <v>1025853.12</v>
      </c>
      <c r="D19" s="17" t="n">
        <v>101259.99</v>
      </c>
      <c r="E19" s="14" t="n">
        <v>2338</v>
      </c>
      <c r="F19" s="14" t="n">
        <v>2872</v>
      </c>
      <c r="G19" s="23" t="n">
        <v>0.4488</v>
      </c>
      <c r="H19" s="16" t="n">
        <v>0.51</v>
      </c>
      <c r="I19" s="17" t="n">
        <v>557854.03</v>
      </c>
      <c r="J19" s="15" t="n">
        <v>0.09870807820909099</v>
      </c>
    </row>
    <row r="20" ht="18" customHeight="1">
      <c r="A20" s="31" t="inlineStr">
        <is>
          <t>2016-04</t>
        </is>
      </c>
      <c r="B20" s="19" t="n">
        <v>5097</v>
      </c>
      <c r="C20" s="22" t="n">
        <v>1001211.58</v>
      </c>
      <c r="D20" s="22" t="n">
        <v>114976.62</v>
      </c>
      <c r="E20" s="19" t="n">
        <v>2293</v>
      </c>
      <c r="F20" s="19" t="n">
        <v>2804</v>
      </c>
      <c r="G20" s="23" t="n">
        <v>0.4499</v>
      </c>
      <c r="H20" s="21" t="n">
        <v>0.53</v>
      </c>
      <c r="I20" s="22" t="n">
        <v>544827.53</v>
      </c>
      <c r="J20" s="20" t="n">
        <v>0.1148374851996818</v>
      </c>
    </row>
    <row r="21" ht="18" customHeight="1">
      <c r="A21" s="30" t="inlineStr">
        <is>
          <t>2016-05</t>
        </is>
      </c>
      <c r="B21" s="14" t="n">
        <v>5302</v>
      </c>
      <c r="C21" s="17" t="n">
        <v>1029400.2</v>
      </c>
      <c r="D21" s="17" t="n">
        <v>110716.12</v>
      </c>
      <c r="E21" s="14" t="n">
        <v>2361</v>
      </c>
      <c r="F21" s="14" t="n">
        <v>2941</v>
      </c>
      <c r="G21" s="23" t="n">
        <v>0.4453</v>
      </c>
      <c r="H21" s="16" t="n">
        <v>0.53</v>
      </c>
      <c r="I21" s="17" t="n">
        <v>562469.39</v>
      </c>
      <c r="J21" s="15" t="n">
        <v>0.1075540105781988</v>
      </c>
    </row>
    <row r="22" ht="18" customHeight="1">
      <c r="A22" s="31" t="inlineStr">
        <is>
          <t>2016-06</t>
        </is>
      </c>
      <c r="B22" s="19" t="n">
        <v>5054</v>
      </c>
      <c r="C22" s="22" t="n">
        <v>1003059.55</v>
      </c>
      <c r="D22" s="22" t="n">
        <v>104196.07</v>
      </c>
      <c r="E22" s="19" t="n">
        <v>2228</v>
      </c>
      <c r="F22" s="19" t="n">
        <v>2826</v>
      </c>
      <c r="G22" s="23" t="n">
        <v>0.4408</v>
      </c>
      <c r="H22" s="21" t="n">
        <v>0.58</v>
      </c>
      <c r="I22" s="22" t="n">
        <v>560535.6899999999</v>
      </c>
      <c r="J22" s="20" t="n">
        <v>0.103878249302347</v>
      </c>
    </row>
    <row r="23" ht="18" customHeight="1">
      <c r="A23" s="30" t="inlineStr">
        <is>
          <t>2016-07</t>
        </is>
      </c>
      <c r="B23" s="14" t="n">
        <v>5305</v>
      </c>
      <c r="C23" s="17" t="n">
        <v>1045715.62</v>
      </c>
      <c r="D23" s="17" t="n">
        <v>119941.72</v>
      </c>
      <c r="E23" s="14" t="n">
        <v>2480</v>
      </c>
      <c r="F23" s="14" t="n">
        <v>2825</v>
      </c>
      <c r="G23" s="23" t="n">
        <v>0.4675</v>
      </c>
      <c r="H23" s="16" t="n">
        <v>0.47</v>
      </c>
      <c r="I23" s="17" t="n">
        <v>553413.45</v>
      </c>
      <c r="J23" s="15" t="n">
        <v>0.1146982197703043</v>
      </c>
    </row>
    <row r="24" ht="18" customHeight="1">
      <c r="A24" s="31" t="inlineStr">
        <is>
          <t>2016-08</t>
        </is>
      </c>
      <c r="B24" s="19" t="n">
        <v>5334</v>
      </c>
      <c r="C24" s="22" t="n">
        <v>1048200.25</v>
      </c>
      <c r="D24" s="22" t="n">
        <v>110729.54</v>
      </c>
      <c r="E24" s="19" t="n">
        <v>2452</v>
      </c>
      <c r="F24" s="19" t="n">
        <v>2882</v>
      </c>
      <c r="G24" s="23" t="n">
        <v>0.4597</v>
      </c>
      <c r="H24" s="21" t="n">
        <v>0.48</v>
      </c>
      <c r="I24" s="22" t="n">
        <v>569317.41</v>
      </c>
      <c r="J24" s="20" t="n">
        <v>0.1056377729350856</v>
      </c>
    </row>
    <row r="25" ht="18" customHeight="1">
      <c r="A25" s="30" t="inlineStr">
        <is>
          <t>2016-09</t>
        </is>
      </c>
      <c r="B25" s="14" t="n">
        <v>5160</v>
      </c>
      <c r="C25" s="17" t="n">
        <v>1002397.04</v>
      </c>
      <c r="D25" s="17" t="n">
        <v>123384.71</v>
      </c>
      <c r="E25" s="14" t="n">
        <v>2330</v>
      </c>
      <c r="F25" s="14" t="n">
        <v>2830</v>
      </c>
      <c r="G25" s="23" t="n">
        <v>0.4515999999999999</v>
      </c>
      <c r="H25" s="16" t="n">
        <v>0.51</v>
      </c>
      <c r="I25" s="17" t="n">
        <v>552197.49</v>
      </c>
      <c r="J25" s="15" t="n">
        <v>0.123089659163399</v>
      </c>
    </row>
    <row r="26" ht="18" customHeight="1">
      <c r="A26" s="31" t="inlineStr">
        <is>
          <t>2016-10</t>
        </is>
      </c>
      <c r="B26" s="19" t="n">
        <v>5398</v>
      </c>
      <c r="C26" s="22" t="n">
        <v>1048130.55</v>
      </c>
      <c r="D26" s="22" t="n">
        <v>116781.97</v>
      </c>
      <c r="E26" s="19" t="n">
        <v>2460</v>
      </c>
      <c r="F26" s="19" t="n">
        <v>2938</v>
      </c>
      <c r="G26" s="23" t="n">
        <v>0.4557</v>
      </c>
      <c r="H26" s="21" t="n">
        <v>0.5</v>
      </c>
      <c r="I26" s="22" t="n">
        <v>563008.87</v>
      </c>
      <c r="J26" s="20" t="n">
        <v>0.1114192979109329</v>
      </c>
    </row>
    <row r="27" ht="18" customHeight="1">
      <c r="A27" s="30" t="inlineStr">
        <is>
          <t>2016-11</t>
        </is>
      </c>
      <c r="B27" s="14" t="n">
        <v>5210</v>
      </c>
      <c r="C27" s="17" t="n">
        <v>1047590.14</v>
      </c>
      <c r="D27" s="17" t="n">
        <v>109539.2</v>
      </c>
      <c r="E27" s="14" t="n">
        <v>2373</v>
      </c>
      <c r="F27" s="14" t="n">
        <v>2837</v>
      </c>
      <c r="G27" s="23" t="n">
        <v>0.4555</v>
      </c>
      <c r="H27" s="16" t="n">
        <v>0.52</v>
      </c>
      <c r="I27" s="17" t="n">
        <v>577003.97</v>
      </c>
      <c r="J27" s="15" t="n">
        <v>0.1045630307287925</v>
      </c>
    </row>
    <row r="28" ht="18" customHeight="1">
      <c r="A28" s="31" t="inlineStr">
        <is>
          <t>2016-12</t>
        </is>
      </c>
      <c r="B28" s="19" t="n">
        <v>5269</v>
      </c>
      <c r="C28" s="22" t="n">
        <v>1037408.17</v>
      </c>
      <c r="D28" s="22" t="n">
        <v>105002.69</v>
      </c>
      <c r="E28" s="19" t="n">
        <v>2293</v>
      </c>
      <c r="F28" s="19" t="n">
        <v>2976</v>
      </c>
      <c r="G28" s="23" t="n">
        <v>0.4352</v>
      </c>
      <c r="H28" s="21" t="n">
        <v>0.51</v>
      </c>
      <c r="I28" s="22" t="n">
        <v>585784.02</v>
      </c>
      <c r="J28" s="20" t="n">
        <v>0.101216370794535</v>
      </c>
    </row>
    <row r="29" ht="18" customHeight="1">
      <c r="A29" s="30" t="inlineStr">
        <is>
          <t>2017-01</t>
        </is>
      </c>
      <c r="B29" s="14" t="n">
        <v>5217</v>
      </c>
      <c r="C29" s="17" t="n">
        <v>1029698.02</v>
      </c>
      <c r="D29" s="17" t="n">
        <v>114843.85</v>
      </c>
      <c r="E29" s="14" t="n">
        <v>2442</v>
      </c>
      <c r="F29" s="14" t="n">
        <v>2775</v>
      </c>
      <c r="G29" s="23" t="n">
        <v>0.4681</v>
      </c>
      <c r="H29" s="16" t="n">
        <v>0.49</v>
      </c>
      <c r="I29" s="17" t="n">
        <v>550400.4</v>
      </c>
      <c r="J29" s="15" t="n">
        <v>0.1115315828226998</v>
      </c>
    </row>
    <row r="30" ht="18" customHeight="1">
      <c r="A30" s="31" t="inlineStr">
        <is>
          <t>2017-02</t>
        </is>
      </c>
      <c r="B30" s="19" t="n">
        <v>4906</v>
      </c>
      <c r="C30" s="22" t="n">
        <v>992534.9</v>
      </c>
      <c r="D30" s="22" t="n">
        <v>115111.07</v>
      </c>
      <c r="E30" s="19" t="n">
        <v>2243</v>
      </c>
      <c r="F30" s="19" t="n">
        <v>2663</v>
      </c>
      <c r="G30" s="23" t="n">
        <v>0.4572</v>
      </c>
      <c r="H30" s="21" t="n">
        <v>0.53</v>
      </c>
      <c r="I30" s="22" t="n">
        <v>544024.1800000001</v>
      </c>
      <c r="J30" s="20" t="n">
        <v>0.1159768487737812</v>
      </c>
    </row>
    <row r="31" ht="18" customHeight="1">
      <c r="A31" s="30" t="inlineStr">
        <is>
          <t>2017-03</t>
        </is>
      </c>
      <c r="B31" s="14" t="n">
        <v>5347</v>
      </c>
      <c r="C31" s="17" t="n">
        <v>1048004.78</v>
      </c>
      <c r="D31" s="17" t="n">
        <v>118688.9</v>
      </c>
      <c r="E31" s="14" t="n">
        <v>2430</v>
      </c>
      <c r="F31" s="14" t="n">
        <v>2917</v>
      </c>
      <c r="G31" s="23" t="n">
        <v>0.4545</v>
      </c>
      <c r="H31" s="16" t="n">
        <v>0.51</v>
      </c>
      <c r="I31" s="17" t="n">
        <v>571766.0699999999</v>
      </c>
      <c r="J31" s="15" t="n">
        <v>0.1132522506242767</v>
      </c>
    </row>
    <row r="32" ht="18" customHeight="1">
      <c r="A32" s="31" t="inlineStr">
        <is>
          <t>2017-04</t>
        </is>
      </c>
      <c r="B32" s="19" t="n">
        <v>5212</v>
      </c>
      <c r="C32" s="22" t="n">
        <v>1038321.62</v>
      </c>
      <c r="D32" s="22" t="n">
        <v>115961.06</v>
      </c>
      <c r="E32" s="19" t="n">
        <v>2362</v>
      </c>
      <c r="F32" s="19" t="n">
        <v>2850</v>
      </c>
      <c r="G32" s="23" t="n">
        <v>0.4532</v>
      </c>
      <c r="H32" s="21" t="n">
        <v>0.52</v>
      </c>
      <c r="I32" s="22" t="n">
        <v>569510.48</v>
      </c>
      <c r="J32" s="20" t="n">
        <v>0.1116812534443807</v>
      </c>
    </row>
    <row r="33" ht="18" customHeight="1">
      <c r="A33" s="30" t="inlineStr">
        <is>
          <t>2017-05</t>
        </is>
      </c>
      <c r="B33" s="14" t="n">
        <v>5317</v>
      </c>
      <c r="C33" s="17" t="n">
        <v>1105485.32</v>
      </c>
      <c r="D33" s="17" t="n">
        <v>115014.64</v>
      </c>
      <c r="E33" s="14" t="n">
        <v>2426</v>
      </c>
      <c r="F33" s="14" t="n">
        <v>2891</v>
      </c>
      <c r="G33" s="23" t="n">
        <v>0.4563</v>
      </c>
      <c r="H33" s="16" t="n">
        <v>0.49</v>
      </c>
      <c r="I33" s="17" t="n">
        <v>595907.49</v>
      </c>
      <c r="J33" s="15" t="n">
        <v>0.1040399523351427</v>
      </c>
    </row>
    <row r="34" ht="18" customHeight="1">
      <c r="A34" s="31" t="inlineStr">
        <is>
          <t>2017-06</t>
        </is>
      </c>
      <c r="B34" s="19" t="n">
        <v>4951</v>
      </c>
      <c r="C34" s="22" t="n">
        <v>1032086.49</v>
      </c>
      <c r="D34" s="22" t="n">
        <v>110399.29</v>
      </c>
      <c r="E34" s="19" t="n">
        <v>2303</v>
      </c>
      <c r="F34" s="19" t="n">
        <v>2648</v>
      </c>
      <c r="G34" s="23" t="n">
        <v>0.4652000000000001</v>
      </c>
      <c r="H34" s="21" t="n">
        <v>0.47</v>
      </c>
      <c r="I34" s="22" t="n">
        <v>558073.3199999999</v>
      </c>
      <c r="J34" s="20" t="n">
        <v>0.1069670914886213</v>
      </c>
    </row>
    <row r="35" ht="18" customHeight="1">
      <c r="A35" s="30" t="inlineStr">
        <is>
          <t>2017-07</t>
        </is>
      </c>
      <c r="B35" s="14" t="n">
        <v>5318</v>
      </c>
      <c r="C35" s="17" t="n">
        <v>1104373.36</v>
      </c>
      <c r="D35" s="17" t="n">
        <v>113026.7</v>
      </c>
      <c r="E35" s="14" t="n">
        <v>2432</v>
      </c>
      <c r="F35" s="14" t="n">
        <v>2886</v>
      </c>
      <c r="G35" s="23" t="n">
        <v>0.4573</v>
      </c>
      <c r="H35" s="16" t="n">
        <v>0.51</v>
      </c>
      <c r="I35" s="17" t="n">
        <v>592677.27</v>
      </c>
      <c r="J35" s="15" t="n">
        <v>0.1023446454738821</v>
      </c>
    </row>
    <row r="36" ht="18" customHeight="1">
      <c r="A36" s="31" t="inlineStr">
        <is>
          <t>2017-08</t>
        </is>
      </c>
      <c r="B36" s="19" t="n">
        <v>5305</v>
      </c>
      <c r="C36" s="22" t="n">
        <v>1109337.17</v>
      </c>
      <c r="D36" s="22" t="n">
        <v>131501.16</v>
      </c>
      <c r="E36" s="19" t="n">
        <v>2334</v>
      </c>
      <c r="F36" s="19" t="n">
        <v>2971</v>
      </c>
      <c r="G36" s="23" t="n">
        <v>0.44</v>
      </c>
      <c r="H36" s="21" t="n">
        <v>0.5600000000000001</v>
      </c>
      <c r="I36" s="22" t="n">
        <v>619889.46</v>
      </c>
      <c r="J36" s="20" t="n">
        <v>0.1185402991590014</v>
      </c>
    </row>
    <row r="37" ht="18" customHeight="1">
      <c r="A37" s="30" t="inlineStr">
        <is>
          <t>2017-09</t>
        </is>
      </c>
      <c r="B37" s="14" t="n">
        <v>5189</v>
      </c>
      <c r="C37" s="17" t="n">
        <v>1143775.11</v>
      </c>
      <c r="D37" s="17" t="n">
        <v>122462.39</v>
      </c>
      <c r="E37" s="14" t="n">
        <v>2397</v>
      </c>
      <c r="F37" s="14" t="n">
        <v>2792</v>
      </c>
      <c r="G37" s="23" t="n">
        <v>0.4619</v>
      </c>
      <c r="H37" s="16" t="n">
        <v>0.48</v>
      </c>
      <c r="I37" s="17" t="n">
        <v>616971.24</v>
      </c>
      <c r="J37" s="15" t="n">
        <v>0.107068591482114</v>
      </c>
    </row>
    <row r="38" ht="18" customHeight="1">
      <c r="A38" s="31" t="inlineStr">
        <is>
          <t>2017-10</t>
        </is>
      </c>
      <c r="B38" s="19" t="n">
        <v>2255</v>
      </c>
      <c r="C38" s="22" t="n">
        <v>1073994.17</v>
      </c>
      <c r="D38" s="22" t="n">
        <v>113447.17</v>
      </c>
      <c r="E38" s="19" t="n">
        <v>1042</v>
      </c>
      <c r="F38" s="19" t="n">
        <v>1213</v>
      </c>
      <c r="G38" s="23" t="n">
        <v>0.4621</v>
      </c>
      <c r="H38" s="21" t="n">
        <v>0.49</v>
      </c>
      <c r="I38" s="22" t="n">
        <v>578992.28</v>
      </c>
      <c r="J38" s="20" t="n">
        <v>0.1056310855020749</v>
      </c>
    </row>
    <row r="39" ht="18" customHeight="1">
      <c r="A39" s="30" t="inlineStr">
        <is>
          <t>2017-11</t>
        </is>
      </c>
      <c r="B39" s="14" t="n">
        <v>2055</v>
      </c>
      <c r="C39" s="17" t="n">
        <v>626914.38</v>
      </c>
      <c r="D39" s="17" t="n">
        <v>67791.25</v>
      </c>
      <c r="E39" s="14" t="n">
        <v>926</v>
      </c>
      <c r="F39" s="14" t="n">
        <v>1129</v>
      </c>
      <c r="G39" s="23" t="n">
        <v>0.4506</v>
      </c>
      <c r="H39" s="16" t="n">
        <v>0.53</v>
      </c>
      <c r="I39" s="17" t="n">
        <v>342592.2</v>
      </c>
      <c r="J39" s="15" t="n">
        <v>0.1081347822967468</v>
      </c>
    </row>
    <row r="40" ht="18" customHeight="1">
      <c r="A40" s="31" t="inlineStr">
        <is>
          <t>2017-12</t>
        </is>
      </c>
      <c r="B40" s="19" t="n">
        <v>2124</v>
      </c>
      <c r="C40" s="22" t="n">
        <v>503910.82</v>
      </c>
      <c r="D40" s="22" t="n">
        <v>65837.63</v>
      </c>
      <c r="E40" s="19" t="n">
        <v>971</v>
      </c>
      <c r="F40" s="19" t="n">
        <v>1153</v>
      </c>
      <c r="G40" s="23" t="n">
        <v>0.4572</v>
      </c>
      <c r="H40" s="21" t="n">
        <v>0.52</v>
      </c>
      <c r="I40" s="22" t="n">
        <v>279349.08</v>
      </c>
      <c r="J40" s="20" t="n">
        <v>0.1306533366360342</v>
      </c>
    </row>
    <row r="41" ht="18" customHeight="1">
      <c r="A41" s="30" t="inlineStr">
        <is>
          <t>2018-01</t>
        </is>
      </c>
      <c r="B41" s="14" t="n">
        <v>2123</v>
      </c>
      <c r="C41" s="17" t="n">
        <v>331650.12</v>
      </c>
      <c r="D41" s="17" t="n">
        <v>33841.89</v>
      </c>
      <c r="E41" s="14" t="n">
        <v>931</v>
      </c>
      <c r="F41" s="14" t="n">
        <v>1192</v>
      </c>
      <c r="G41" s="23" t="n">
        <v>0.4385</v>
      </c>
      <c r="H41" s="16" t="n">
        <v>0.5600000000000001</v>
      </c>
      <c r="I41" s="17" t="n">
        <v>191117.89</v>
      </c>
      <c r="J41" s="15" t="n">
        <v>0.1020409400123238</v>
      </c>
    </row>
    <row r="42" ht="20" customHeight="1">
      <c r="A42" s="32" t="inlineStr">
        <is>
          <t>FULL PERIOD TOTAL / AVG</t>
        </is>
      </c>
      <c r="B42" s="26">
        <f>SUM(B5:B41)</f>
        <v/>
      </c>
      <c r="C42" s="29">
        <f>SUM(C5:C41)</f>
        <v/>
      </c>
      <c r="D42" s="29">
        <f>SUM(D5:D41)</f>
        <v/>
      </c>
      <c r="E42" s="26">
        <f>SUM(E5:E41)</f>
        <v/>
      </c>
      <c r="F42" s="26">
        <f>SUM(F5:F41)</f>
        <v/>
      </c>
      <c r="G42" s="27">
        <f>E42/B42</f>
        <v/>
      </c>
      <c r="H42" s="28">
        <f>AVERAGE(H5:H41)</f>
        <v/>
      </c>
      <c r="I42" s="29">
        <f>SUM(I5:I41)</f>
        <v/>
      </c>
      <c r="J42" s="27">
        <f>D42/C42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22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REGIONAL S&amp;OP MATRIX: FULFILLMENT HEATMAP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Cross-Dimensional Evaluation of Market vs Shipping Mode Performance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/>
    <row r="4">
      <c r="A4" s="10" t="inlineStr">
        <is>
          <t>A. ON-TIME IN-FULL (OTIF %) ACCURACY MATRIX</t>
        </is>
      </c>
    </row>
    <row r="5" ht="22" customHeight="1">
      <c r="A5" s="33" t="inlineStr">
        <is>
          <t>Market / Region</t>
        </is>
      </c>
      <c r="B5" s="12" t="inlineStr">
        <is>
          <t>First Class</t>
        </is>
      </c>
      <c r="C5" s="12" t="inlineStr">
        <is>
          <t>Same Day</t>
        </is>
      </c>
      <c r="D5" s="12" t="inlineStr">
        <is>
          <t>Second Class</t>
        </is>
      </c>
      <c r="E5" s="12" t="inlineStr">
        <is>
          <t>Standard Class</t>
        </is>
      </c>
    </row>
    <row r="6" ht="18" customHeight="1">
      <c r="A6" s="34" t="inlineStr">
        <is>
          <t>Africa</t>
        </is>
      </c>
      <c r="B6" s="23" t="n">
        <v>0</v>
      </c>
      <c r="C6" s="35" t="n">
        <v>1</v>
      </c>
      <c r="D6" s="23" t="n">
        <v>0.1996</v>
      </c>
      <c r="E6" s="36" t="n">
        <v>0.6</v>
      </c>
    </row>
    <row r="7" ht="18" customHeight="1">
      <c r="A7" s="34" t="inlineStr">
        <is>
          <t>Europe</t>
        </is>
      </c>
      <c r="B7" s="23" t="n">
        <v>0</v>
      </c>
      <c r="C7" s="35" t="n">
        <v>1</v>
      </c>
      <c r="D7" s="23" t="n">
        <v>0.2002</v>
      </c>
      <c r="E7" s="36" t="n">
        <v>0.6009</v>
      </c>
    </row>
    <row r="8" ht="18" customHeight="1">
      <c r="A8" s="34" t="inlineStr">
        <is>
          <t>LATAM</t>
        </is>
      </c>
      <c r="B8" s="23" t="n">
        <v>0</v>
      </c>
      <c r="C8" s="35" t="n">
        <v>1</v>
      </c>
      <c r="D8" s="23" t="n">
        <v>0.2106</v>
      </c>
      <c r="E8" s="36" t="n">
        <v>0.6037</v>
      </c>
    </row>
    <row r="9" ht="18" customHeight="1">
      <c r="A9" s="34" t="inlineStr">
        <is>
          <t>Pacific Asia</t>
        </is>
      </c>
      <c r="B9" s="23" t="n">
        <v>0</v>
      </c>
      <c r="C9" s="35" t="n">
        <v>1</v>
      </c>
      <c r="D9" s="23" t="n">
        <v>0.1958</v>
      </c>
      <c r="E9" s="36" t="n">
        <v>0.6015</v>
      </c>
    </row>
    <row r="10" ht="18" customHeight="1">
      <c r="A10" s="34" t="inlineStr">
        <is>
          <t>USCA</t>
        </is>
      </c>
      <c r="B10" s="23" t="n">
        <v>0</v>
      </c>
      <c r="C10" s="35" t="n">
        <v>1</v>
      </c>
      <c r="D10" s="23" t="n">
        <v>0.2045</v>
      </c>
      <c r="E10" s="36" t="n">
        <v>0.6048</v>
      </c>
    </row>
    <row r="11"/>
    <row r="12"/>
    <row r="13">
      <c r="A13" s="10" t="inlineStr">
        <is>
          <t>B. AVERAGE DELAY VARIANCE (DAYS) MATRIX</t>
        </is>
      </c>
    </row>
    <row r="14" ht="22" customHeight="1">
      <c r="A14" s="33" t="inlineStr">
        <is>
          <t>Market / Region</t>
        </is>
      </c>
      <c r="B14" s="12" t="inlineStr">
        <is>
          <t>First Class</t>
        </is>
      </c>
      <c r="C14" s="12" t="inlineStr">
        <is>
          <t>Same Day</t>
        </is>
      </c>
      <c r="D14" s="12" t="inlineStr">
        <is>
          <t>Second Class</t>
        </is>
      </c>
      <c r="E14" s="12" t="inlineStr">
        <is>
          <t>Standard Class</t>
        </is>
      </c>
    </row>
    <row r="15" ht="18" customHeight="1">
      <c r="A15" s="34" t="inlineStr">
        <is>
          <t>Africa</t>
        </is>
      </c>
      <c r="B15" s="37" t="n">
        <v>1</v>
      </c>
      <c r="C15" s="16" t="n">
        <v>-0.53</v>
      </c>
      <c r="D15" s="37" t="n">
        <v>1.98</v>
      </c>
      <c r="E15" s="16" t="n">
        <v>0.02</v>
      </c>
    </row>
    <row r="16" ht="18" customHeight="1">
      <c r="A16" s="34" t="inlineStr">
        <is>
          <t>Europe</t>
        </is>
      </c>
      <c r="B16" s="37" t="n">
        <v>1</v>
      </c>
      <c r="C16" s="16" t="n">
        <v>-0.51</v>
      </c>
      <c r="D16" s="37" t="n">
        <v>2</v>
      </c>
      <c r="E16" s="16" t="n">
        <v>-0.01</v>
      </c>
    </row>
    <row r="17" ht="18" customHeight="1">
      <c r="A17" s="34" t="inlineStr">
        <is>
          <t>LATAM</t>
        </is>
      </c>
      <c r="B17" s="37" t="n">
        <v>1</v>
      </c>
      <c r="C17" s="16" t="n">
        <v>-0.49</v>
      </c>
      <c r="D17" s="37" t="n">
        <v>1.98</v>
      </c>
      <c r="E17" s="16" t="n">
        <v>-0.01</v>
      </c>
    </row>
    <row r="18" ht="18" customHeight="1">
      <c r="A18" s="34" t="inlineStr">
        <is>
          <t>Pacific Asia</t>
        </is>
      </c>
      <c r="B18" s="37" t="n">
        <v>1</v>
      </c>
      <c r="C18" s="16" t="n">
        <v>-0.55</v>
      </c>
      <c r="D18" s="37" t="n">
        <v>2</v>
      </c>
      <c r="E18" s="16" t="n">
        <v>-0</v>
      </c>
    </row>
    <row r="19" ht="18" customHeight="1">
      <c r="A19" s="34" t="inlineStr">
        <is>
          <t>USCA</t>
        </is>
      </c>
      <c r="B19" s="37" t="n">
        <v>1</v>
      </c>
      <c r="C19" s="16" t="n">
        <v>-0.55</v>
      </c>
      <c r="D19" s="37" t="n">
        <v>1.98</v>
      </c>
      <c r="E19" s="16" t="n">
        <v>-0</v>
      </c>
    </row>
    <row r="20"/>
    <row r="21"/>
    <row r="22">
      <c r="A22" s="10" t="inlineStr">
        <is>
          <t>C. LATE REVENUE AT RISK ($) MATRIX</t>
        </is>
      </c>
    </row>
    <row r="23" ht="22" customHeight="1">
      <c r="A23" s="33" t="inlineStr">
        <is>
          <t>Market / Region</t>
        </is>
      </c>
      <c r="B23" s="12" t="inlineStr">
        <is>
          <t>First Class</t>
        </is>
      </c>
      <c r="C23" s="12" t="inlineStr">
        <is>
          <t>Same Day</t>
        </is>
      </c>
      <c r="D23" s="12" t="inlineStr">
        <is>
          <t>Second Class</t>
        </is>
      </c>
      <c r="E23" s="12" t="inlineStr">
        <is>
          <t>Standard Class</t>
        </is>
      </c>
    </row>
    <row r="24" ht="18" customHeight="1">
      <c r="A24" s="34" t="inlineStr">
        <is>
          <t>Africa</t>
        </is>
      </c>
      <c r="B24" s="38" t="n">
        <v>336830.91</v>
      </c>
      <c r="C24" s="38" t="n">
        <v>0</v>
      </c>
      <c r="D24" s="38" t="n">
        <v>341630.28</v>
      </c>
      <c r="E24" s="38" t="n">
        <v>557424.85</v>
      </c>
    </row>
    <row r="25" ht="18" customHeight="1">
      <c r="A25" s="34" t="inlineStr">
        <is>
          <t>Europe</t>
        </is>
      </c>
      <c r="B25" s="38" t="n">
        <v>1709345.59</v>
      </c>
      <c r="C25" s="38" t="n">
        <v>0</v>
      </c>
      <c r="D25" s="38" t="n">
        <v>1686758.68</v>
      </c>
      <c r="E25" s="38" t="n">
        <v>2580236.52</v>
      </c>
    </row>
    <row r="26" ht="18" customHeight="1">
      <c r="A26" s="34" t="inlineStr">
        <is>
          <t>LATAM</t>
        </is>
      </c>
      <c r="B26" s="38" t="n">
        <v>1576251.27</v>
      </c>
      <c r="C26" s="38" t="n">
        <v>0</v>
      </c>
      <c r="D26" s="38" t="n">
        <v>1556794.34</v>
      </c>
      <c r="E26" s="38" t="n">
        <v>2462758.2</v>
      </c>
    </row>
    <row r="27" ht="18" customHeight="1">
      <c r="A27" s="34" t="inlineStr">
        <is>
          <t>Pacific Asia</t>
        </is>
      </c>
      <c r="B27" s="38" t="n">
        <v>1269299.52</v>
      </c>
      <c r="C27" s="38" t="n">
        <v>0</v>
      </c>
      <c r="D27" s="38" t="n">
        <v>1319806.66</v>
      </c>
      <c r="E27" s="38" t="n">
        <v>1958267.73</v>
      </c>
    </row>
    <row r="28" ht="18" customHeight="1">
      <c r="A28" s="34" t="inlineStr">
        <is>
          <t>USCA</t>
        </is>
      </c>
      <c r="B28" s="38" t="n">
        <v>782642.47</v>
      </c>
      <c r="C28" s="38" t="n">
        <v>0</v>
      </c>
      <c r="D28" s="38" t="n">
        <v>793225.92</v>
      </c>
      <c r="E28" s="38" t="n">
        <v>1177710.79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3" customWidth="1" min="3" max="3"/>
    <col width="21" customWidth="1" min="4" max="4"/>
    <col width="14" customWidth="1" min="5" max="5"/>
    <col width="13" customWidth="1" min="6" max="6"/>
    <col width="14" customWidth="1" min="7" max="7"/>
    <col width="13" customWidth="1" min="8" max="8"/>
    <col width="24" customWidth="1" min="9" max="9"/>
    <col width="21" customWidth="1" min="10" max="10"/>
    <col width="12" customWidth="1" min="11" max="11"/>
    <col width="12" customWidth="1" min="12" max="12"/>
    <col width="12" customWidth="1" min="13" max="13"/>
    <col width="16" customWidth="1" min="14" max="14"/>
    <col width="19" customWidth="1" min="15" max="15"/>
    <col width="36" customWidth="1" min="16" max="16"/>
  </cols>
  <sheetData>
    <row r="1" ht="28" customHeight="1">
      <c r="A1" s="1" t="inlineStr">
        <is>
          <t>ABC-XYZ INVENTORY HEALTH &amp; DEMAND VOLATILITY ENGINE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Dual-Dimensional Pareto Revenue &amp; Demand Coefficient of Variation (CV) Matrix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/>
    <row r="4">
      <c r="A4" s="10" t="inlineStr">
        <is>
          <t>1. THE S&amp;OP 3×3 SEGMENTATION MATRIX</t>
        </is>
      </c>
    </row>
    <row r="5">
      <c r="B5" s="39" t="inlineStr">
        <is>
          <t>X (Stable Demand, CV ≤ 0.5)</t>
        </is>
      </c>
      <c r="C5" s="40" t="n"/>
      <c r="D5" s="39" t="inlineStr">
        <is>
          <t>Y (Variable Demand, 0.5 &lt; CV ≤ 1.0)</t>
        </is>
      </c>
      <c r="E5" s="40" t="n"/>
      <c r="F5" s="39" t="inlineStr">
        <is>
          <t>Z (Erratic / Lumpy Demand, CV &gt; 1.0)</t>
        </is>
      </c>
      <c r="G5" s="40" t="n"/>
    </row>
    <row r="6">
      <c r="A6" s="41" t="inlineStr">
        <is>
          <t>Class A
(Top 80% Revenue)</t>
        </is>
      </c>
      <c r="B6" s="42">
        <f>COUNTIFS(K$16:K$133, "A", M$16:M$133, "X") &amp; " SKUs | AX: JIT Replenish"</f>
        <v/>
      </c>
      <c r="C6" s="43" t="n"/>
      <c r="D6" s="44">
        <f>COUNTIFS(K$16:K$133, "A", M$16:M$133, "Y") &amp; " SKUs | AY: Seasonal Buffer"</f>
        <v/>
      </c>
      <c r="E6" s="43" t="n"/>
      <c r="F6" s="45">
        <f>COUNTIFS(K$16:K$133, "A", M$16:M$133, "Z") &amp; " SKUs | AZ: CRITICAL RISK BUFFER"</f>
        <v/>
      </c>
      <c r="G6" s="43" t="n"/>
    </row>
    <row r="7">
      <c r="A7" s="43" t="n"/>
      <c r="B7" s="46">
        <f>SUMIFS(G$16:G$133, K$16:K$133, "A", M$16:M$133, "X")</f>
        <v/>
      </c>
      <c r="C7" s="43" t="n"/>
      <c r="D7" s="47">
        <f>SUMIFS(G$16:G$133, K$16:K$133, "A", M$16:M$133, "Y")</f>
        <v/>
      </c>
      <c r="E7" s="43" t="n"/>
      <c r="F7" s="48">
        <f>SUMIFS(G$16:G$133, K$16:K$133, "A", M$16:M$133, "Z")</f>
        <v/>
      </c>
      <c r="G7" s="43" t="n"/>
    </row>
    <row r="8">
      <c r="A8" s="41" t="inlineStr">
        <is>
          <t>Class B
(Next 15% Revenue)</t>
        </is>
      </c>
      <c r="B8" s="49">
        <f>COUNTIFS(K$16:K$133, "B", M$16:M$133, "X") &amp; " SKUs | BX: Automated Reorder"</f>
        <v/>
      </c>
      <c r="C8" s="43" t="n"/>
      <c r="D8" s="49">
        <f>COUNTIFS(K$16:K$133, "B", M$16:M$133, "Y") &amp; " SKUs | BY: Periodic Review"</f>
        <v/>
      </c>
      <c r="E8" s="43" t="n"/>
      <c r="F8" s="44">
        <f>COUNTIFS(K$16:K$133, "B", M$16:M$133, "Z") &amp; " SKUs | BZ: Rationalize MOQ"</f>
        <v/>
      </c>
      <c r="G8" s="43" t="n"/>
    </row>
    <row r="9">
      <c r="A9" s="43" t="n"/>
      <c r="B9" s="50">
        <f>SUMIFS(G$16:G$133, K$16:K$133, "B", M$16:M$133, "X")</f>
        <v/>
      </c>
      <c r="C9" s="43" t="n"/>
      <c r="D9" s="50">
        <f>SUMIFS(G$16:G$133, K$16:K$133, "B", M$16:M$133, "Y")</f>
        <v/>
      </c>
      <c r="E9" s="43" t="n"/>
      <c r="F9" s="47">
        <f>SUMIFS(G$16:G$133, K$16:K$133, "B", M$16:M$133, "Z")</f>
        <v/>
      </c>
      <c r="G9" s="43" t="n"/>
    </row>
    <row r="10">
      <c r="A10" s="41" t="inlineStr">
        <is>
          <t>Class C
(Bottom 5% Revenue)</t>
        </is>
      </c>
      <c r="B10" s="49">
        <f>COUNTIFS(K$16:K$133, "C", M$16:M$133, "X") &amp; " SKUs | CX: Bulk Order"</f>
        <v/>
      </c>
      <c r="C10" s="43" t="n"/>
      <c r="D10" s="49">
        <f>COUNTIFS(K$16:K$133, "C", M$16:M$133, "Y") &amp; " SKUs | CY: Standard Tol."</f>
        <v/>
      </c>
      <c r="E10" s="43" t="n"/>
      <c r="F10" s="45">
        <f>COUNTIFS(K$16:K$133, "C", M$16:M$133, "Z") &amp; " SKUs | CZ: PURGE CANDIDATE"</f>
        <v/>
      </c>
      <c r="G10" s="43" t="n"/>
    </row>
    <row r="11">
      <c r="A11" s="43" t="n"/>
      <c r="B11" s="50">
        <f>SUMIFS(G$16:G$133, K$16:K$133, "C", M$16:M$133, "X")</f>
        <v/>
      </c>
      <c r="C11" s="43" t="n"/>
      <c r="D11" s="50">
        <f>SUMIFS(G$16:G$133, K$16:K$133, "C", M$16:M$133, "Y")</f>
        <v/>
      </c>
      <c r="E11" s="43" t="n"/>
      <c r="F11" s="48">
        <f>SUMIFS(G$16:G$133, K$16:K$133, "C", M$16:M$133, "Z")</f>
        <v/>
      </c>
      <c r="G11" s="43" t="n"/>
    </row>
    <row r="12"/>
    <row r="13"/>
    <row r="14">
      <c r="A14" s="10" t="inlineStr">
        <is>
          <t>2. PRODUCT-LEVEL ABC-XYZ CLASSIFICATION &amp; STRATEGY DIRECTIVES</t>
        </is>
      </c>
    </row>
    <row r="15" ht="22" customHeight="1">
      <c r="A15" s="12" t="inlineStr">
        <is>
          <t>Product ID</t>
        </is>
      </c>
      <c r="B15" s="12" t="inlineStr">
        <is>
          <t>Product Name</t>
        </is>
      </c>
      <c r="C15" s="12" t="inlineStr">
        <is>
          <t>Category</t>
        </is>
      </c>
      <c r="D15" s="12" t="inlineStr">
        <is>
          <t>Department</t>
        </is>
      </c>
      <c r="E15" s="12" t="inlineStr">
        <is>
          <t>Price ($)</t>
        </is>
      </c>
      <c r="F15" s="12" t="inlineStr">
        <is>
          <t>Units Sold</t>
        </is>
      </c>
      <c r="G15" s="12" t="inlineStr">
        <is>
          <t>Revenue ($)</t>
        </is>
      </c>
      <c r="H15" s="12" t="inlineStr">
        <is>
          <t>Profit ($)</t>
        </is>
      </c>
      <c r="I15" s="12" t="inlineStr">
        <is>
          <t>Rev Share %</t>
        </is>
      </c>
      <c r="J15" s="12" t="inlineStr">
        <is>
          <t>Cumulative %</t>
        </is>
      </c>
      <c r="K15" s="12" t="inlineStr">
        <is>
          <t>ABC Class</t>
        </is>
      </c>
      <c r="L15" s="12" t="inlineStr">
        <is>
          <t>Demand CV</t>
        </is>
      </c>
      <c r="M15" s="12" t="inlineStr">
        <is>
          <t>XYZ Class</t>
        </is>
      </c>
      <c r="N15" s="12" t="inlineStr">
        <is>
          <t>9-Box Segment</t>
        </is>
      </c>
      <c r="O15" s="12" t="inlineStr">
        <is>
          <t>Priority</t>
        </is>
      </c>
      <c r="P15" s="12" t="inlineStr">
        <is>
          <t>Recommended Strategy</t>
        </is>
      </c>
    </row>
    <row r="16" ht="18" customHeight="1">
      <c r="A16" s="30" t="n">
        <v>1004</v>
      </c>
      <c r="B16" s="13" t="inlineStr">
        <is>
          <t>Field &amp; Stream Sportsman 16 Gun Fire Safe</t>
        </is>
      </c>
      <c r="C16" s="13" t="inlineStr">
        <is>
          <t>Fishing</t>
        </is>
      </c>
      <c r="D16" s="13" t="inlineStr">
        <is>
          <t>Fan Shop</t>
        </is>
      </c>
      <c r="E16" s="17" t="n">
        <v>399.980011</v>
      </c>
      <c r="F16" s="14" t="n">
        <v>17325</v>
      </c>
      <c r="G16" s="17" t="n">
        <v>6929653.69</v>
      </c>
      <c r="H16" s="17" t="n">
        <v>756220.77</v>
      </c>
      <c r="I16" s="51" t="n">
        <v>0.1884</v>
      </c>
      <c r="J16" s="51" t="n">
        <v>0.1884</v>
      </c>
      <c r="K16" s="30" t="inlineStr">
        <is>
          <t>A</t>
        </is>
      </c>
      <c r="L16" s="52" t="n">
        <v>0.165</v>
      </c>
      <c r="M16" s="30" t="inlineStr">
        <is>
          <t>X</t>
        </is>
      </c>
      <c r="N16" s="30" t="inlineStr">
        <is>
          <t>AX</t>
        </is>
      </c>
      <c r="O16" s="13" t="inlineStr">
        <is>
          <t>HIGH</t>
        </is>
      </c>
      <c r="P16" s="13" t="inlineStr">
        <is>
          <t>Automate Replenishment (JIT)</t>
        </is>
      </c>
    </row>
    <row r="17" ht="18" customHeight="1">
      <c r="A17" s="31" t="n">
        <v>365</v>
      </c>
      <c r="B17" s="18" t="inlineStr">
        <is>
          <t>Perfect Fitness Perfect Rip Deck</t>
        </is>
      </c>
      <c r="C17" s="18" t="inlineStr">
        <is>
          <t>Cleats</t>
        </is>
      </c>
      <c r="D17" s="18" t="inlineStr">
        <is>
          <t>Apparel</t>
        </is>
      </c>
      <c r="E17" s="22" t="n">
        <v>59.99000168</v>
      </c>
      <c r="F17" s="19" t="n">
        <v>73698</v>
      </c>
      <c r="G17" s="22" t="n">
        <v>4421143.14</v>
      </c>
      <c r="H17" s="22" t="n">
        <v>493828.3</v>
      </c>
      <c r="I17" s="53" t="n">
        <v>0.1202</v>
      </c>
      <c r="J17" s="53" t="n">
        <v>0.3086</v>
      </c>
      <c r="K17" s="31" t="inlineStr">
        <is>
          <t>A</t>
        </is>
      </c>
      <c r="L17" s="54" t="n">
        <v>0.154</v>
      </c>
      <c r="M17" s="31" t="inlineStr">
        <is>
          <t>X</t>
        </is>
      </c>
      <c r="N17" s="31" t="inlineStr">
        <is>
          <t>AX</t>
        </is>
      </c>
      <c r="O17" s="18" t="inlineStr">
        <is>
          <t>HIGH</t>
        </is>
      </c>
      <c r="P17" s="18" t="inlineStr">
        <is>
          <t>Automate Replenishment (JIT)</t>
        </is>
      </c>
    </row>
    <row r="18" ht="18" customHeight="1">
      <c r="A18" s="30" t="n">
        <v>957</v>
      </c>
      <c r="B18" s="13" t="inlineStr">
        <is>
          <t>Diamondback Women's Serene Classic Comfort Bi</t>
        </is>
      </c>
      <c r="C18" s="13" t="inlineStr">
        <is>
          <t>Camping &amp; Hiking</t>
        </is>
      </c>
      <c r="D18" s="13" t="inlineStr">
        <is>
          <t>Fan Shop</t>
        </is>
      </c>
      <c r="E18" s="17" t="n">
        <v>299.980011</v>
      </c>
      <c r="F18" s="14" t="n">
        <v>13729</v>
      </c>
      <c r="G18" s="17" t="n">
        <v>4118425.57</v>
      </c>
      <c r="H18" s="17" t="n">
        <v>427455.57</v>
      </c>
      <c r="I18" s="51" t="n">
        <v>0.112</v>
      </c>
      <c r="J18" s="51" t="n">
        <v>0.4205</v>
      </c>
      <c r="K18" s="30" t="inlineStr">
        <is>
          <t>A</t>
        </is>
      </c>
      <c r="L18" s="52" t="n">
        <v>0.153</v>
      </c>
      <c r="M18" s="30" t="inlineStr">
        <is>
          <t>X</t>
        </is>
      </c>
      <c r="N18" s="30" t="inlineStr">
        <is>
          <t>AX</t>
        </is>
      </c>
      <c r="O18" s="13" t="inlineStr">
        <is>
          <t>HIGH</t>
        </is>
      </c>
      <c r="P18" s="13" t="inlineStr">
        <is>
          <t>Automate Replenishment (JIT)</t>
        </is>
      </c>
    </row>
    <row r="19" ht="18" customHeight="1">
      <c r="A19" s="31" t="n">
        <v>191</v>
      </c>
      <c r="B19" s="18" t="inlineStr">
        <is>
          <t>Nike Men's Free 5.0+ Running Shoe</t>
        </is>
      </c>
      <c r="C19" s="18" t="inlineStr">
        <is>
          <t>Cardio Equipment</t>
        </is>
      </c>
      <c r="D19" s="18" t="inlineStr">
        <is>
          <t>Footwear</t>
        </is>
      </c>
      <c r="E19" s="22" t="n">
        <v>99.98999786</v>
      </c>
      <c r="F19" s="19" t="n">
        <v>36680</v>
      </c>
      <c r="G19" s="22" t="n">
        <v>3667633.2</v>
      </c>
      <c r="H19" s="22" t="n">
        <v>379915.82</v>
      </c>
      <c r="I19" s="53" t="n">
        <v>0.09970000000000001</v>
      </c>
      <c r="J19" s="53" t="n">
        <v>0.5202</v>
      </c>
      <c r="K19" s="31" t="inlineStr">
        <is>
          <t>A</t>
        </is>
      </c>
      <c r="L19" s="54" t="n">
        <v>0.17</v>
      </c>
      <c r="M19" s="31" t="inlineStr">
        <is>
          <t>X</t>
        </is>
      </c>
      <c r="N19" s="31" t="inlineStr">
        <is>
          <t>AX</t>
        </is>
      </c>
      <c r="O19" s="18" t="inlineStr">
        <is>
          <t>HIGH</t>
        </is>
      </c>
      <c r="P19" s="18" t="inlineStr">
        <is>
          <t>Automate Replenishment (JIT)</t>
        </is>
      </c>
    </row>
    <row r="20" ht="18" customHeight="1">
      <c r="A20" s="30" t="n">
        <v>502</v>
      </c>
      <c r="B20" s="13" t="inlineStr">
        <is>
          <t>Nike Men's Dri-FIT Victory Golf Polo</t>
        </is>
      </c>
      <c r="C20" s="13" t="inlineStr">
        <is>
          <t>Women's Apparel</t>
        </is>
      </c>
      <c r="D20" s="13" t="inlineStr">
        <is>
          <t>Golf</t>
        </is>
      </c>
      <c r="E20" s="17" t="n">
        <v>50</v>
      </c>
      <c r="F20" s="14" t="n">
        <v>62956</v>
      </c>
      <c r="G20" s="17" t="n">
        <v>3147800</v>
      </c>
      <c r="H20" s="17" t="n">
        <v>350421.03</v>
      </c>
      <c r="I20" s="51" t="n">
        <v>0.08560000000000001</v>
      </c>
      <c r="J20" s="51" t="n">
        <v>0.6058</v>
      </c>
      <c r="K20" s="30" t="inlineStr">
        <is>
          <t>A</t>
        </is>
      </c>
      <c r="L20" s="52" t="n">
        <v>0.156</v>
      </c>
      <c r="M20" s="30" t="inlineStr">
        <is>
          <t>X</t>
        </is>
      </c>
      <c r="N20" s="30" t="inlineStr">
        <is>
          <t>AX</t>
        </is>
      </c>
      <c r="O20" s="13" t="inlineStr">
        <is>
          <t>HIGH</t>
        </is>
      </c>
      <c r="P20" s="13" t="inlineStr">
        <is>
          <t>Automate Replenishment (JIT)</t>
        </is>
      </c>
    </row>
    <row r="21" ht="18" customHeight="1">
      <c r="A21" s="31" t="n">
        <v>1073</v>
      </c>
      <c r="B21" s="18" t="inlineStr">
        <is>
          <t>Pelican Sunstream 100 Kayak</t>
        </is>
      </c>
      <c r="C21" s="18" t="inlineStr">
        <is>
          <t>Water Sports</t>
        </is>
      </c>
      <c r="D21" s="18" t="inlineStr">
        <is>
          <t>Fan Shop</t>
        </is>
      </c>
      <c r="E21" s="22" t="n">
        <v>199.9900055</v>
      </c>
      <c r="F21" s="19" t="n">
        <v>15500</v>
      </c>
      <c r="G21" s="22" t="n">
        <v>3099845.09</v>
      </c>
      <c r="H21" s="22" t="n">
        <v>324076.37</v>
      </c>
      <c r="I21" s="53" t="n">
        <v>0.0843</v>
      </c>
      <c r="J21" s="53" t="n">
        <v>0.6901</v>
      </c>
      <c r="K21" s="31" t="inlineStr">
        <is>
          <t>A</t>
        </is>
      </c>
      <c r="L21" s="54" t="n">
        <v>0.167</v>
      </c>
      <c r="M21" s="31" t="inlineStr">
        <is>
          <t>X</t>
        </is>
      </c>
      <c r="N21" s="31" t="inlineStr">
        <is>
          <t>AX</t>
        </is>
      </c>
      <c r="O21" s="18" t="inlineStr">
        <is>
          <t>HIGH</t>
        </is>
      </c>
      <c r="P21" s="18" t="inlineStr">
        <is>
          <t>Automate Replenishment (JIT)</t>
        </is>
      </c>
    </row>
    <row r="22" ht="18" customHeight="1">
      <c r="A22" s="30" t="n">
        <v>403</v>
      </c>
      <c r="B22" s="13" t="inlineStr">
        <is>
          <t>Nike Men's CJ Elite 2 TD Football Cleat</t>
        </is>
      </c>
      <c r="C22" s="13" t="inlineStr">
        <is>
          <t>Men's Footwear</t>
        </is>
      </c>
      <c r="D22" s="13" t="inlineStr">
        <is>
          <t>Apparel</t>
        </is>
      </c>
      <c r="E22" s="17" t="n">
        <v>129.9900055</v>
      </c>
      <c r="F22" s="14" t="n">
        <v>22246</v>
      </c>
      <c r="G22" s="17" t="n">
        <v>2891757.66</v>
      </c>
      <c r="H22" s="17" t="n">
        <v>311902.82</v>
      </c>
      <c r="I22" s="51" t="n">
        <v>0.0786</v>
      </c>
      <c r="J22" s="51" t="n">
        <v>0.7687</v>
      </c>
      <c r="K22" s="30" t="inlineStr">
        <is>
          <t>A</t>
        </is>
      </c>
      <c r="L22" s="52" t="n">
        <v>0.159</v>
      </c>
      <c r="M22" s="30" t="inlineStr">
        <is>
          <t>X</t>
        </is>
      </c>
      <c r="N22" s="30" t="inlineStr">
        <is>
          <t>AX</t>
        </is>
      </c>
      <c r="O22" s="13" t="inlineStr">
        <is>
          <t>HIGH</t>
        </is>
      </c>
      <c r="P22" s="13" t="inlineStr">
        <is>
          <t>Automate Replenishment (JIT)</t>
        </is>
      </c>
    </row>
    <row r="23" ht="18" customHeight="1">
      <c r="A23" s="31" t="n">
        <v>1014</v>
      </c>
      <c r="B23" s="18" t="inlineStr">
        <is>
          <t>O'Brien Men's Neoprene Life Vest</t>
        </is>
      </c>
      <c r="C23" s="18" t="inlineStr">
        <is>
          <t>Indoor/Outdoor Games</t>
        </is>
      </c>
      <c r="D23" s="18" t="inlineStr">
        <is>
          <t>Fan Shop</t>
        </is>
      </c>
      <c r="E23" s="22" t="n">
        <v>49.97999954</v>
      </c>
      <c r="F23" s="19" t="n">
        <v>57803</v>
      </c>
      <c r="G23" s="22" t="n">
        <v>2888993.91</v>
      </c>
      <c r="H23" s="22" t="n">
        <v>318451.43</v>
      </c>
      <c r="I23" s="53" t="n">
        <v>0.0785</v>
      </c>
      <c r="J23" s="53" t="n">
        <v>0.8472</v>
      </c>
      <c r="K23" s="31" t="inlineStr">
        <is>
          <t>A</t>
        </is>
      </c>
      <c r="L23" s="54" t="n">
        <v>0.164</v>
      </c>
      <c r="M23" s="31" t="inlineStr">
        <is>
          <t>X</t>
        </is>
      </c>
      <c r="N23" s="31" t="inlineStr">
        <is>
          <t>AX</t>
        </is>
      </c>
      <c r="O23" s="18" t="inlineStr">
        <is>
          <t>HIGH</t>
        </is>
      </c>
      <c r="P23" s="18" t="inlineStr">
        <is>
          <t>Automate Replenishment (JIT)</t>
        </is>
      </c>
    </row>
    <row r="24" ht="18" customHeight="1">
      <c r="A24" s="30" t="n">
        <v>627</v>
      </c>
      <c r="B24" s="13" t="inlineStr">
        <is>
          <t>Under Armour Girls' Toddler Spine Surge Runni</t>
        </is>
      </c>
      <c r="C24" s="13" t="inlineStr">
        <is>
          <t>Shop By Sport</t>
        </is>
      </c>
      <c r="D24" s="13" t="inlineStr">
        <is>
          <t>Golf</t>
        </is>
      </c>
      <c r="E24" s="17" t="n">
        <v>39.99000168</v>
      </c>
      <c r="F24" s="14" t="n">
        <v>31735</v>
      </c>
      <c r="G24" s="17" t="n">
        <v>1269082.67</v>
      </c>
      <c r="H24" s="17" t="n">
        <v>126278.51</v>
      </c>
      <c r="I24" s="51" t="n">
        <v>0.0345</v>
      </c>
      <c r="J24" s="51" t="n">
        <v>0.8817</v>
      </c>
      <c r="K24" s="30" t="inlineStr">
        <is>
          <t>B</t>
        </is>
      </c>
      <c r="L24" s="52" t="n">
        <v>0.181</v>
      </c>
      <c r="M24" s="30" t="inlineStr">
        <is>
          <t>X</t>
        </is>
      </c>
      <c r="N24" s="30" t="inlineStr">
        <is>
          <t>BX</t>
        </is>
      </c>
      <c r="O24" s="13" t="inlineStr">
        <is>
          <t>MEDIUM</t>
        </is>
      </c>
      <c r="P24" s="13" t="inlineStr">
        <is>
          <t>Standard Periodic Replenishment</t>
        </is>
      </c>
    </row>
    <row r="25" ht="18" customHeight="1">
      <c r="A25" s="31" t="n">
        <v>1351</v>
      </c>
      <c r="B25" s="18" t="inlineStr">
        <is>
          <t>Dell Laptop</t>
        </is>
      </c>
      <c r="C25" s="18" t="inlineStr">
        <is>
          <t>Computers</t>
        </is>
      </c>
      <c r="D25" s="18" t="inlineStr">
        <is>
          <t>Technology</t>
        </is>
      </c>
      <c r="E25" s="22" t="n">
        <v>1500</v>
      </c>
      <c r="F25" s="19" t="n">
        <v>442</v>
      </c>
      <c r="G25" s="22" t="n">
        <v>663000</v>
      </c>
      <c r="H25" s="22" t="n">
        <v>69656.81</v>
      </c>
      <c r="I25" s="53" t="n">
        <v>0.018</v>
      </c>
      <c r="J25" s="53" t="n">
        <v>0.8998</v>
      </c>
      <c r="K25" s="31" t="inlineStr">
        <is>
          <t>B</t>
        </is>
      </c>
      <c r="L25" s="54" t="n">
        <v>9.99</v>
      </c>
      <c r="M25" s="31" t="inlineStr">
        <is>
          <t>Z</t>
        </is>
      </c>
      <c r="N25" s="31" t="inlineStr">
        <is>
          <t>BZ</t>
        </is>
      </c>
      <c r="O25" s="18" t="inlineStr">
        <is>
          <t>MEDIUM-HIGH RISK</t>
        </is>
      </c>
      <c r="P25" s="18" t="inlineStr">
        <is>
          <t>Inventory Rationalization</t>
        </is>
      </c>
    </row>
    <row r="26" ht="18" customHeight="1">
      <c r="A26" s="30" t="n">
        <v>1349</v>
      </c>
      <c r="B26" s="13" t="inlineStr">
        <is>
          <t>Web Camera</t>
        </is>
      </c>
      <c r="C26" s="13" t="inlineStr">
        <is>
          <t xml:space="preserve">Cameras </t>
        </is>
      </c>
      <c r="D26" s="13" t="inlineStr">
        <is>
          <t>Technology</t>
        </is>
      </c>
      <c r="E26" s="17" t="n">
        <v>452.0400085</v>
      </c>
      <c r="F26" s="14" t="n">
        <v>592</v>
      </c>
      <c r="G26" s="17" t="n">
        <v>267607.69</v>
      </c>
      <c r="H26" s="17" t="n">
        <v>30289.8</v>
      </c>
      <c r="I26" s="51" t="n">
        <v>0.0073</v>
      </c>
      <c r="J26" s="51" t="n">
        <v>0.907</v>
      </c>
      <c r="K26" s="30" t="inlineStr">
        <is>
          <t>B</t>
        </is>
      </c>
      <c r="L26" s="52" t="n">
        <v>9.99</v>
      </c>
      <c r="M26" s="30" t="inlineStr">
        <is>
          <t>Z</t>
        </is>
      </c>
      <c r="N26" s="30" t="inlineStr">
        <is>
          <t>BZ</t>
        </is>
      </c>
      <c r="O26" s="13" t="inlineStr">
        <is>
          <t>MEDIUM-HIGH RISK</t>
        </is>
      </c>
      <c r="P26" s="13" t="inlineStr">
        <is>
          <t>Inventory Rationalization</t>
        </is>
      </c>
    </row>
    <row r="27" ht="18" customHeight="1">
      <c r="A27" s="31" t="n">
        <v>1355</v>
      </c>
      <c r="B27" s="18" t="inlineStr">
        <is>
          <t>Lawn mower</t>
        </is>
      </c>
      <c r="C27" s="18" t="inlineStr">
        <is>
          <t>Garden</t>
        </is>
      </c>
      <c r="D27" s="18" t="inlineStr">
        <is>
          <t>Outdoors</t>
        </is>
      </c>
      <c r="E27" s="22" t="n">
        <v>532.5800171</v>
      </c>
      <c r="F27" s="19" t="n">
        <v>484</v>
      </c>
      <c r="G27" s="22" t="n">
        <v>257768.73</v>
      </c>
      <c r="H27" s="22" t="n">
        <v>33443.01</v>
      </c>
      <c r="I27" s="53" t="n">
        <v>0.006999999999999999</v>
      </c>
      <c r="J27" s="53" t="n">
        <v>0.914</v>
      </c>
      <c r="K27" s="31" t="inlineStr">
        <is>
          <t>B</t>
        </is>
      </c>
      <c r="L27" s="54" t="n">
        <v>9.99</v>
      </c>
      <c r="M27" s="31" t="inlineStr">
        <is>
          <t>Z</t>
        </is>
      </c>
      <c r="N27" s="31" t="inlineStr">
        <is>
          <t>BZ</t>
        </is>
      </c>
      <c r="O27" s="18" t="inlineStr">
        <is>
          <t>MEDIUM-HIGH RISK</t>
        </is>
      </c>
      <c r="P27" s="18" t="inlineStr">
        <is>
          <t>Inventory Rationalization</t>
        </is>
      </c>
    </row>
    <row r="28" ht="18" customHeight="1">
      <c r="A28" s="30" t="n">
        <v>1350</v>
      </c>
      <c r="B28" s="13" t="inlineStr">
        <is>
          <t>Children's heaters</t>
        </is>
      </c>
      <c r="C28" s="13" t="inlineStr">
        <is>
          <t>Children's Clothing</t>
        </is>
      </c>
      <c r="D28" s="13" t="inlineStr">
        <is>
          <t>Apparel</t>
        </is>
      </c>
      <c r="E28" s="17" t="n">
        <v>357.1000061</v>
      </c>
      <c r="F28" s="14" t="n">
        <v>652</v>
      </c>
      <c r="G28" s="17" t="n">
        <v>232829.2</v>
      </c>
      <c r="H28" s="17" t="n">
        <v>27178.1</v>
      </c>
      <c r="I28" s="51" t="n">
        <v>0.0063</v>
      </c>
      <c r="J28" s="51" t="n">
        <v>0.9204000000000001</v>
      </c>
      <c r="K28" s="30" t="inlineStr">
        <is>
          <t>B</t>
        </is>
      </c>
      <c r="L28" s="52" t="n">
        <v>9.99</v>
      </c>
      <c r="M28" s="30" t="inlineStr">
        <is>
          <t>Z</t>
        </is>
      </c>
      <c r="N28" s="30" t="inlineStr">
        <is>
          <t>BZ</t>
        </is>
      </c>
      <c r="O28" s="13" t="inlineStr">
        <is>
          <t>MEDIUM-HIGH RISK</t>
        </is>
      </c>
      <c r="P28" s="13" t="inlineStr">
        <is>
          <t>Inventory Rationalization</t>
        </is>
      </c>
    </row>
    <row r="29" ht="18" customHeight="1">
      <c r="A29" s="31" t="n">
        <v>1353</v>
      </c>
      <c r="B29" s="18" t="inlineStr">
        <is>
          <t>Porcelain crafts</t>
        </is>
      </c>
      <c r="C29" s="18" t="inlineStr">
        <is>
          <t>Crafts</t>
        </is>
      </c>
      <c r="D29" s="18" t="inlineStr">
        <is>
          <t>Apparel</t>
        </is>
      </c>
      <c r="E29" s="22" t="n">
        <v>461.480011</v>
      </c>
      <c r="F29" s="19" t="n">
        <v>484</v>
      </c>
      <c r="G29" s="22" t="n">
        <v>223356.33</v>
      </c>
      <c r="H29" s="22" t="n">
        <v>25531.17</v>
      </c>
      <c r="I29" s="53" t="n">
        <v>0.0061</v>
      </c>
      <c r="J29" s="53" t="n">
        <v>0.9264</v>
      </c>
      <c r="K29" s="31" t="inlineStr">
        <is>
          <t>B</t>
        </is>
      </c>
      <c r="L29" s="54" t="n">
        <v>9.99</v>
      </c>
      <c r="M29" s="31" t="inlineStr">
        <is>
          <t>Z</t>
        </is>
      </c>
      <c r="N29" s="31" t="inlineStr">
        <is>
          <t>BZ</t>
        </is>
      </c>
      <c r="O29" s="18" t="inlineStr">
        <is>
          <t>MEDIUM-HIGH RISK</t>
        </is>
      </c>
      <c r="P29" s="18" t="inlineStr">
        <is>
          <t>Inventory Rationalization</t>
        </is>
      </c>
    </row>
    <row r="30" ht="18" customHeight="1">
      <c r="A30" s="30" t="n">
        <v>1363</v>
      </c>
      <c r="B30" s="13" t="inlineStr">
        <is>
          <t>Summer dresses</t>
        </is>
      </c>
      <c r="C30" s="13" t="inlineStr">
        <is>
          <t>Women's Clothing</t>
        </is>
      </c>
      <c r="D30" s="13" t="inlineStr">
        <is>
          <t>Apparel</t>
        </is>
      </c>
      <c r="E30" s="17" t="n">
        <v>215.8200073</v>
      </c>
      <c r="F30" s="14" t="n">
        <v>650</v>
      </c>
      <c r="G30" s="17" t="n">
        <v>140283</v>
      </c>
      <c r="H30" s="17" t="n">
        <v>19102.85</v>
      </c>
      <c r="I30" s="51" t="n">
        <v>0.0038</v>
      </c>
      <c r="J30" s="51" t="n">
        <v>0.9303</v>
      </c>
      <c r="K30" s="30" t="inlineStr">
        <is>
          <t>B</t>
        </is>
      </c>
      <c r="L30" s="52" t="n">
        <v>9.99</v>
      </c>
      <c r="M30" s="30" t="inlineStr">
        <is>
          <t>Z</t>
        </is>
      </c>
      <c r="N30" s="30" t="inlineStr">
        <is>
          <t>BZ</t>
        </is>
      </c>
      <c r="O30" s="13" t="inlineStr">
        <is>
          <t>MEDIUM-HIGH RISK</t>
        </is>
      </c>
      <c r="P30" s="13" t="inlineStr">
        <is>
          <t>Inventory Rationalization</t>
        </is>
      </c>
    </row>
    <row r="31" ht="18" customHeight="1">
      <c r="A31" s="31" t="n">
        <v>1360</v>
      </c>
      <c r="B31" s="18" t="inlineStr">
        <is>
          <t xml:space="preserve">Smart watch </t>
        </is>
      </c>
      <c r="C31" s="18" t="inlineStr">
        <is>
          <t>Sporting Goods</t>
        </is>
      </c>
      <c r="D31" s="18" t="inlineStr">
        <is>
          <t>Fitness</t>
        </is>
      </c>
      <c r="E31" s="22" t="n">
        <v>327.75</v>
      </c>
      <c r="F31" s="19" t="n">
        <v>357</v>
      </c>
      <c r="G31" s="22" t="n">
        <v>117006.75</v>
      </c>
      <c r="H31" s="22" t="n">
        <v>12518.61</v>
      </c>
      <c r="I31" s="53" t="n">
        <v>0.0032</v>
      </c>
      <c r="J31" s="53" t="n">
        <v>0.9334</v>
      </c>
      <c r="K31" s="31" t="inlineStr">
        <is>
          <t>B</t>
        </is>
      </c>
      <c r="L31" s="54" t="n">
        <v>0.994</v>
      </c>
      <c r="M31" s="31" t="inlineStr">
        <is>
          <t>Y</t>
        </is>
      </c>
      <c r="N31" s="31" t="inlineStr">
        <is>
          <t>BY</t>
        </is>
      </c>
      <c r="O31" s="18" t="inlineStr">
        <is>
          <t>MEDIUM</t>
        </is>
      </c>
      <c r="P31" s="18" t="inlineStr">
        <is>
          <t>Periodic S&amp;OP Review</t>
        </is>
      </c>
    </row>
    <row r="32" ht="18" customHeight="1">
      <c r="A32" s="30" t="n">
        <v>1358</v>
      </c>
      <c r="B32" s="13" t="inlineStr">
        <is>
          <t>Rock music</t>
        </is>
      </c>
      <c r="C32" s="13" t="inlineStr">
        <is>
          <t>Music</t>
        </is>
      </c>
      <c r="D32" s="13" t="inlineStr">
        <is>
          <t>Discs Shop</t>
        </is>
      </c>
      <c r="E32" s="17" t="n">
        <v>260.6499939</v>
      </c>
      <c r="F32" s="14" t="n">
        <v>434</v>
      </c>
      <c r="G32" s="17" t="n">
        <v>113122.1</v>
      </c>
      <c r="H32" s="17" t="n">
        <v>14436.32</v>
      </c>
      <c r="I32" s="51" t="n">
        <v>0.0031</v>
      </c>
      <c r="J32" s="51" t="n">
        <v>0.9365000000000001</v>
      </c>
      <c r="K32" s="30" t="inlineStr">
        <is>
          <t>B</t>
        </is>
      </c>
      <c r="L32" s="52" t="n">
        <v>9.99</v>
      </c>
      <c r="M32" s="30" t="inlineStr">
        <is>
          <t>Z</t>
        </is>
      </c>
      <c r="N32" s="30" t="inlineStr">
        <is>
          <t>BZ</t>
        </is>
      </c>
      <c r="O32" s="13" t="inlineStr">
        <is>
          <t>MEDIUM-HIGH RISK</t>
        </is>
      </c>
      <c r="P32" s="13" t="inlineStr">
        <is>
          <t>Inventory Rationalization</t>
        </is>
      </c>
    </row>
    <row r="33" ht="18" customHeight="1">
      <c r="A33" s="31" t="n">
        <v>1352</v>
      </c>
      <c r="B33" s="18" t="inlineStr">
        <is>
          <t>Industrial consumer electronics</t>
        </is>
      </c>
      <c r="C33" s="18" t="inlineStr">
        <is>
          <t>Consumer Electronics</t>
        </is>
      </c>
      <c r="D33" s="18" t="inlineStr">
        <is>
          <t>Technology</t>
        </is>
      </c>
      <c r="E33" s="22" t="n">
        <v>252.8800049</v>
      </c>
      <c r="F33" s="19" t="n">
        <v>431</v>
      </c>
      <c r="G33" s="22" t="n">
        <v>108991.28</v>
      </c>
      <c r="H33" s="22" t="n">
        <v>13223.4</v>
      </c>
      <c r="I33" s="53" t="n">
        <v>0.003</v>
      </c>
      <c r="J33" s="53" t="n">
        <v>0.9395</v>
      </c>
      <c r="K33" s="31" t="inlineStr">
        <is>
          <t>B</t>
        </is>
      </c>
      <c r="L33" s="54" t="n">
        <v>9.99</v>
      </c>
      <c r="M33" s="31" t="inlineStr">
        <is>
          <t>Z</t>
        </is>
      </c>
      <c r="N33" s="31" t="inlineStr">
        <is>
          <t>BZ</t>
        </is>
      </c>
      <c r="O33" s="18" t="inlineStr">
        <is>
          <t>MEDIUM-HIGH RISK</t>
        </is>
      </c>
      <c r="P33" s="18" t="inlineStr">
        <is>
          <t>Inventory Rationalization</t>
        </is>
      </c>
    </row>
    <row r="34" ht="18" customHeight="1">
      <c r="A34" s="30" t="n">
        <v>1356</v>
      </c>
      <c r="B34" s="13" t="inlineStr">
        <is>
          <t>First aid kit</t>
        </is>
      </c>
      <c r="C34" s="13" t="inlineStr">
        <is>
          <t>Health and Beauty</t>
        </is>
      </c>
      <c r="D34" s="13" t="inlineStr">
        <is>
          <t xml:space="preserve">Health and Beauty </t>
        </is>
      </c>
      <c r="E34" s="17" t="n">
        <v>293.0400085</v>
      </c>
      <c r="F34" s="14" t="n">
        <v>362</v>
      </c>
      <c r="G34" s="17" t="n">
        <v>106080.48</v>
      </c>
      <c r="H34" s="17" t="n">
        <v>9493.629999999999</v>
      </c>
      <c r="I34" s="51" t="n">
        <v>0.0029</v>
      </c>
      <c r="J34" s="51" t="n">
        <v>0.9423999999999999</v>
      </c>
      <c r="K34" s="30" t="inlineStr">
        <is>
          <t>B</t>
        </is>
      </c>
      <c r="L34" s="52" t="n">
        <v>9.99</v>
      </c>
      <c r="M34" s="30" t="inlineStr">
        <is>
          <t>Z</t>
        </is>
      </c>
      <c r="N34" s="30" t="inlineStr">
        <is>
          <t>BZ</t>
        </is>
      </c>
      <c r="O34" s="13" t="inlineStr">
        <is>
          <t>MEDIUM-HIGH RISK</t>
        </is>
      </c>
      <c r="P34" s="13" t="inlineStr">
        <is>
          <t>Inventory Rationalization</t>
        </is>
      </c>
    </row>
    <row r="35" ht="18" customHeight="1">
      <c r="A35" s="31" t="n">
        <v>1354</v>
      </c>
      <c r="B35" s="18" t="inlineStr">
        <is>
          <t xml:space="preserve">DVDs </t>
        </is>
      </c>
      <c r="C35" s="18" t="inlineStr">
        <is>
          <t>DVDs</t>
        </is>
      </c>
      <c r="D35" s="18" t="inlineStr">
        <is>
          <t>Discs Shop</t>
        </is>
      </c>
      <c r="E35" s="22" t="n">
        <v>164.3800049</v>
      </c>
      <c r="F35" s="19" t="n">
        <v>483</v>
      </c>
      <c r="G35" s="22" t="n">
        <v>79395.53999999999</v>
      </c>
      <c r="H35" s="22" t="n">
        <v>6655.43</v>
      </c>
      <c r="I35" s="53" t="n">
        <v>0.0022</v>
      </c>
      <c r="J35" s="53" t="n">
        <v>0.9445</v>
      </c>
      <c r="K35" s="31" t="inlineStr">
        <is>
          <t>B</t>
        </is>
      </c>
      <c r="L35" s="54" t="n">
        <v>1.35</v>
      </c>
      <c r="M35" s="31" t="inlineStr">
        <is>
          <t>Z</t>
        </is>
      </c>
      <c r="N35" s="31" t="inlineStr">
        <is>
          <t>BZ</t>
        </is>
      </c>
      <c r="O35" s="18" t="inlineStr">
        <is>
          <t>MEDIUM-HIGH RISK</t>
        </is>
      </c>
      <c r="P35" s="18" t="inlineStr">
        <is>
          <t>Inventory Rationalization</t>
        </is>
      </c>
    </row>
    <row r="36" ht="18" customHeight="1">
      <c r="A36" s="30" t="n">
        <v>565</v>
      </c>
      <c r="B36" s="13" t="inlineStr">
        <is>
          <t>adidas Youth Germany Black/Red Away Match Soc</t>
        </is>
      </c>
      <c r="C36" s="13" t="inlineStr">
        <is>
          <t>Girls' Apparel</t>
        </is>
      </c>
      <c r="D36" s="13" t="inlineStr">
        <is>
          <t>Golf</t>
        </is>
      </c>
      <c r="E36" s="17" t="n">
        <v>70</v>
      </c>
      <c r="F36" s="14" t="n">
        <v>969</v>
      </c>
      <c r="G36" s="17" t="n">
        <v>67830</v>
      </c>
      <c r="H36" s="17" t="n">
        <v>8129.4</v>
      </c>
      <c r="I36" s="51" t="n">
        <v>0.0018</v>
      </c>
      <c r="J36" s="51" t="n">
        <v>0.9464</v>
      </c>
      <c r="K36" s="30" t="inlineStr">
        <is>
          <t>B</t>
        </is>
      </c>
      <c r="L36" s="52" t="n">
        <v>0.628</v>
      </c>
      <c r="M36" s="30" t="inlineStr">
        <is>
          <t>Y</t>
        </is>
      </c>
      <c r="N36" s="30" t="inlineStr">
        <is>
          <t>BY</t>
        </is>
      </c>
      <c r="O36" s="13" t="inlineStr">
        <is>
          <t>MEDIUM</t>
        </is>
      </c>
      <c r="P36" s="13" t="inlineStr">
        <is>
          <t>Periodic S&amp;OP Review</t>
        </is>
      </c>
    </row>
    <row r="37" ht="18" customHeight="1">
      <c r="A37" s="31" t="n">
        <v>728</v>
      </c>
      <c r="B37" s="18" t="inlineStr">
        <is>
          <t>LIJA Women's Eyelet Sleeveless Golf Polo</t>
        </is>
      </c>
      <c r="C37" s="18" t="inlineStr">
        <is>
          <t>Golf Shoes</t>
        </is>
      </c>
      <c r="D37" s="18" t="inlineStr">
        <is>
          <t>Outdoors</t>
        </is>
      </c>
      <c r="E37" s="22" t="n">
        <v>65</v>
      </c>
      <c r="F37" s="19" t="n">
        <v>946</v>
      </c>
      <c r="G37" s="22" t="n">
        <v>61490</v>
      </c>
      <c r="H37" s="22" t="n">
        <v>6752.33</v>
      </c>
      <c r="I37" s="53" t="n">
        <v>0.0017</v>
      </c>
      <c r="J37" s="53" t="n">
        <v>0.948</v>
      </c>
      <c r="K37" s="31" t="inlineStr">
        <is>
          <t>B</t>
        </is>
      </c>
      <c r="L37" s="54" t="n">
        <v>0.6</v>
      </c>
      <c r="M37" s="31" t="inlineStr">
        <is>
          <t>Y</t>
        </is>
      </c>
      <c r="N37" s="31" t="inlineStr">
        <is>
          <t>BY</t>
        </is>
      </c>
      <c r="O37" s="18" t="inlineStr">
        <is>
          <t>MEDIUM</t>
        </is>
      </c>
      <c r="P37" s="18" t="inlineStr">
        <is>
          <t>Periodic S&amp;OP Review</t>
        </is>
      </c>
    </row>
    <row r="38" ht="18" customHeight="1">
      <c r="A38" s="30" t="n">
        <v>44</v>
      </c>
      <c r="B38" s="13" t="inlineStr">
        <is>
          <t>adidas Men's F10 Messi TRX FG Soccer Cleat</t>
        </is>
      </c>
      <c r="C38" s="13" t="inlineStr">
        <is>
          <t>Baseball &amp; Softball</t>
        </is>
      </c>
      <c r="D38" s="13" t="inlineStr">
        <is>
          <t>Fitness</t>
        </is>
      </c>
      <c r="E38" s="17" t="n">
        <v>59.99000168</v>
      </c>
      <c r="F38" s="14" t="n">
        <v>939</v>
      </c>
      <c r="G38" s="17" t="n">
        <v>56330.61</v>
      </c>
      <c r="H38" s="17" t="n">
        <v>8213.07</v>
      </c>
      <c r="I38" s="51" t="n">
        <v>0.0015</v>
      </c>
      <c r="J38" s="51" t="n">
        <v>0.9495999999999999</v>
      </c>
      <c r="K38" s="30" t="inlineStr">
        <is>
          <t>B</t>
        </is>
      </c>
      <c r="L38" s="52" t="n">
        <v>0.653</v>
      </c>
      <c r="M38" s="30" t="inlineStr">
        <is>
          <t>Y</t>
        </is>
      </c>
      <c r="N38" s="30" t="inlineStr">
        <is>
          <t>BY</t>
        </is>
      </c>
      <c r="O38" s="13" t="inlineStr">
        <is>
          <t>MEDIUM</t>
        </is>
      </c>
      <c r="P38" s="13" t="inlineStr">
        <is>
          <t>Periodic S&amp;OP Review</t>
        </is>
      </c>
    </row>
    <row r="39" ht="18" customHeight="1">
      <c r="A39" s="31" t="n">
        <v>823</v>
      </c>
      <c r="B39" s="18" t="inlineStr">
        <is>
          <t>Titleist Pro V1x High Numbers Personalized Go</t>
        </is>
      </c>
      <c r="C39" s="18" t="inlineStr">
        <is>
          <t>Electronics</t>
        </is>
      </c>
      <c r="D39" s="18" t="inlineStr">
        <is>
          <t>Outdoors</t>
        </is>
      </c>
      <c r="E39" s="22" t="n">
        <v>51.99000168</v>
      </c>
      <c r="F39" s="19" t="n">
        <v>908</v>
      </c>
      <c r="G39" s="22" t="n">
        <v>47206.92</v>
      </c>
      <c r="H39" s="22" t="n">
        <v>6671.09</v>
      </c>
      <c r="I39" s="53" t="n">
        <v>0.0013</v>
      </c>
      <c r="J39" s="53" t="n">
        <v>0.9508</v>
      </c>
      <c r="K39" s="31" t="inlineStr">
        <is>
          <t>B</t>
        </is>
      </c>
      <c r="L39" s="54" t="n">
        <v>0.674</v>
      </c>
      <c r="M39" s="31" t="inlineStr">
        <is>
          <t>Y</t>
        </is>
      </c>
      <c r="N39" s="31" t="inlineStr">
        <is>
          <t>BY</t>
        </is>
      </c>
      <c r="O39" s="18" t="inlineStr">
        <is>
          <t>MEDIUM</t>
        </is>
      </c>
      <c r="P39" s="18" t="inlineStr">
        <is>
          <t>Periodic S&amp;OP Review</t>
        </is>
      </c>
    </row>
    <row r="40" ht="18" customHeight="1">
      <c r="A40" s="30" t="n">
        <v>249</v>
      </c>
      <c r="B40" s="13" t="inlineStr">
        <is>
          <t>Under Armour Women's Micro G Skulpt Running S</t>
        </is>
      </c>
      <c r="C40" s="13" t="inlineStr">
        <is>
          <t>Boxing &amp; MMA</t>
        </is>
      </c>
      <c r="D40" s="13" t="inlineStr">
        <is>
          <t>Footwear</t>
        </is>
      </c>
      <c r="E40" s="17" t="n">
        <v>54.97000122</v>
      </c>
      <c r="F40" s="14" t="n">
        <v>847</v>
      </c>
      <c r="G40" s="17" t="n">
        <v>46559.59</v>
      </c>
      <c r="H40" s="17" t="n">
        <v>4469.77</v>
      </c>
      <c r="I40" s="51" t="n">
        <v>0.0013</v>
      </c>
      <c r="J40" s="51" t="n">
        <v>0.9520999999999999</v>
      </c>
      <c r="K40" s="30" t="inlineStr">
        <is>
          <t>C</t>
        </is>
      </c>
      <c r="L40" s="52" t="n">
        <v>0.658</v>
      </c>
      <c r="M40" s="30" t="inlineStr">
        <is>
          <t>Y</t>
        </is>
      </c>
      <c r="N40" s="30" t="inlineStr">
        <is>
          <t>CY</t>
        </is>
      </c>
      <c r="O40" s="13" t="inlineStr">
        <is>
          <t>LOW</t>
        </is>
      </c>
      <c r="P40" s="13" t="inlineStr">
        <is>
          <t>Standard Reorder Tolerances</t>
        </is>
      </c>
    </row>
    <row r="41" ht="18" customHeight="1">
      <c r="A41" s="31" t="n">
        <v>116</v>
      </c>
      <c r="B41" s="18" t="inlineStr">
        <is>
          <t>Nike Men's Comfort 2 Slide</t>
        </is>
      </c>
      <c r="C41" s="18" t="inlineStr">
        <is>
          <t>Tennis &amp; Racquet</t>
        </is>
      </c>
      <c r="D41" s="18" t="inlineStr">
        <is>
          <t>Fitness</t>
        </is>
      </c>
      <c r="E41" s="22" t="n">
        <v>44.99000168</v>
      </c>
      <c r="F41" s="19" t="n">
        <v>991</v>
      </c>
      <c r="G41" s="22" t="n">
        <v>44585.09</v>
      </c>
      <c r="H41" s="22" t="n">
        <v>5747.98</v>
      </c>
      <c r="I41" s="53" t="n">
        <v>0.0012</v>
      </c>
      <c r="J41" s="53" t="n">
        <v>0.9533</v>
      </c>
      <c r="K41" s="31" t="inlineStr">
        <is>
          <t>C</t>
        </is>
      </c>
      <c r="L41" s="54" t="n">
        <v>0.593</v>
      </c>
      <c r="M41" s="31" t="inlineStr">
        <is>
          <t>Y</t>
        </is>
      </c>
      <c r="N41" s="31" t="inlineStr">
        <is>
          <t>CY</t>
        </is>
      </c>
      <c r="O41" s="18" t="inlineStr">
        <is>
          <t>LOW</t>
        </is>
      </c>
      <c r="P41" s="18" t="inlineStr">
        <is>
          <t>Standard Reorder Tolerances</t>
        </is>
      </c>
    </row>
    <row r="42" ht="18" customHeight="1">
      <c r="A42" s="30" t="n">
        <v>821</v>
      </c>
      <c r="B42" s="13" t="inlineStr">
        <is>
          <t>Titleist Pro V1 High Numbers Personalized Gol</t>
        </is>
      </c>
      <c r="C42" s="13" t="inlineStr">
        <is>
          <t>Electronics</t>
        </is>
      </c>
      <c r="D42" s="13" t="inlineStr">
        <is>
          <t>Outdoors</t>
        </is>
      </c>
      <c r="E42" s="17" t="n">
        <v>51.99000168</v>
      </c>
      <c r="F42" s="14" t="n">
        <v>851</v>
      </c>
      <c r="G42" s="17" t="n">
        <v>44243.49</v>
      </c>
      <c r="H42" s="17" t="n">
        <v>6093.15</v>
      </c>
      <c r="I42" s="51" t="n">
        <v>0.0012</v>
      </c>
      <c r="J42" s="51" t="n">
        <v>0.9545</v>
      </c>
      <c r="K42" s="30" t="inlineStr">
        <is>
          <t>C</t>
        </is>
      </c>
      <c r="L42" s="52" t="n">
        <v>0.57</v>
      </c>
      <c r="M42" s="30" t="inlineStr">
        <is>
          <t>Y</t>
        </is>
      </c>
      <c r="N42" s="30" t="inlineStr">
        <is>
          <t>CY</t>
        </is>
      </c>
      <c r="O42" s="13" t="inlineStr">
        <is>
          <t>LOW</t>
        </is>
      </c>
      <c r="P42" s="13" t="inlineStr">
        <is>
          <t>Standard Reorder Tolerances</t>
        </is>
      </c>
    </row>
    <row r="43" ht="18" customHeight="1">
      <c r="A43" s="31" t="n">
        <v>1357</v>
      </c>
      <c r="B43" s="18" t="inlineStr">
        <is>
          <t>Men's gala suit</t>
        </is>
      </c>
      <c r="C43" s="18" t="inlineStr">
        <is>
          <t>Men's Clothing</t>
        </is>
      </c>
      <c r="D43" s="18" t="inlineStr">
        <is>
          <t>Apparel</t>
        </is>
      </c>
      <c r="E43" s="22" t="n">
        <v>210.8500061</v>
      </c>
      <c r="F43" s="19" t="n">
        <v>208</v>
      </c>
      <c r="G43" s="22" t="n">
        <v>43856.8</v>
      </c>
      <c r="H43" s="22" t="n">
        <v>2006.04</v>
      </c>
      <c r="I43" s="53" t="n">
        <v>0.0012</v>
      </c>
      <c r="J43" s="53" t="n">
        <v>0.9556999999999999</v>
      </c>
      <c r="K43" s="31" t="inlineStr">
        <is>
          <t>C</t>
        </is>
      </c>
      <c r="L43" s="54" t="n">
        <v>9.99</v>
      </c>
      <c r="M43" s="31" t="inlineStr">
        <is>
          <t>Z</t>
        </is>
      </c>
      <c r="N43" s="55" t="inlineStr">
        <is>
          <t>CZ</t>
        </is>
      </c>
      <c r="O43" s="18" t="inlineStr">
        <is>
          <t>PURGE / MONITOR</t>
        </is>
      </c>
      <c r="P43" s="18" t="inlineStr">
        <is>
          <t>Obsolescence Review / Rationalize</t>
        </is>
      </c>
    </row>
    <row r="44" ht="18" customHeight="1">
      <c r="A44" s="30" t="n">
        <v>1359</v>
      </c>
      <c r="B44" s="13" t="inlineStr">
        <is>
          <t>Adult dog supplies</t>
        </is>
      </c>
      <c r="C44" s="13" t="inlineStr">
        <is>
          <t>Pet Supplies</t>
        </is>
      </c>
      <c r="D44" s="13" t="inlineStr">
        <is>
          <t>Pet Shop</t>
        </is>
      </c>
      <c r="E44" s="17" t="n">
        <v>84.40000153</v>
      </c>
      <c r="F44" s="14" t="n">
        <v>492</v>
      </c>
      <c r="G44" s="17" t="n">
        <v>41524.8</v>
      </c>
      <c r="H44" s="17" t="n">
        <v>3589.26</v>
      </c>
      <c r="I44" s="51" t="n">
        <v>0.0011</v>
      </c>
      <c r="J44" s="51" t="n">
        <v>0.9568000000000001</v>
      </c>
      <c r="K44" s="30" t="inlineStr">
        <is>
          <t>C</t>
        </is>
      </c>
      <c r="L44" s="52" t="n">
        <v>9.99</v>
      </c>
      <c r="M44" s="30" t="inlineStr">
        <is>
          <t>Z</t>
        </is>
      </c>
      <c r="N44" s="55" t="inlineStr">
        <is>
          <t>CZ</t>
        </is>
      </c>
      <c r="O44" s="13" t="inlineStr">
        <is>
          <t>PURGE / MONITOR</t>
        </is>
      </c>
      <c r="P44" s="13" t="inlineStr">
        <is>
          <t>Obsolescence Review / Rationalize</t>
        </is>
      </c>
    </row>
    <row r="45" ht="18" customHeight="1">
      <c r="A45" s="31" t="n">
        <v>818</v>
      </c>
      <c r="B45" s="18" t="inlineStr">
        <is>
          <t>Titleist Pro V1x Golf Balls</t>
        </is>
      </c>
      <c r="C45" s="18" t="inlineStr">
        <is>
          <t>Electronics</t>
        </is>
      </c>
      <c r="D45" s="18" t="inlineStr">
        <is>
          <t>Outdoors</t>
        </is>
      </c>
      <c r="E45" s="22" t="n">
        <v>47.99000168</v>
      </c>
      <c r="F45" s="19" t="n">
        <v>863</v>
      </c>
      <c r="G45" s="22" t="n">
        <v>41415.37</v>
      </c>
      <c r="H45" s="22" t="n">
        <v>3699.61</v>
      </c>
      <c r="I45" s="53" t="n">
        <v>0.0011</v>
      </c>
      <c r="J45" s="53" t="n">
        <v>0.958</v>
      </c>
      <c r="K45" s="31" t="inlineStr">
        <is>
          <t>C</t>
        </is>
      </c>
      <c r="L45" s="54" t="n">
        <v>0.652</v>
      </c>
      <c r="M45" s="31" t="inlineStr">
        <is>
          <t>Y</t>
        </is>
      </c>
      <c r="N45" s="31" t="inlineStr">
        <is>
          <t>CY</t>
        </is>
      </c>
      <c r="O45" s="18" t="inlineStr">
        <is>
          <t>LOW</t>
        </is>
      </c>
      <c r="P45" s="18" t="inlineStr">
        <is>
          <t>Standard Reorder Tolerances</t>
        </is>
      </c>
    </row>
    <row r="46" ht="18" customHeight="1">
      <c r="A46" s="30" t="n">
        <v>822</v>
      </c>
      <c r="B46" s="13" t="inlineStr">
        <is>
          <t>Titleist Pro V1x High Numbers Golf Balls</t>
        </is>
      </c>
      <c r="C46" s="13" t="inlineStr">
        <is>
          <t>Electronics</t>
        </is>
      </c>
      <c r="D46" s="13" t="inlineStr">
        <is>
          <t>Outdoors</t>
        </is>
      </c>
      <c r="E46" s="17" t="n">
        <v>47.99000168</v>
      </c>
      <c r="F46" s="14" t="n">
        <v>800</v>
      </c>
      <c r="G46" s="17" t="n">
        <v>38392</v>
      </c>
      <c r="H46" s="17" t="n">
        <v>4592.28</v>
      </c>
      <c r="I46" s="51" t="n">
        <v>0.001</v>
      </c>
      <c r="J46" s="51" t="n">
        <v>0.9590000000000001</v>
      </c>
      <c r="K46" s="30" t="inlineStr">
        <is>
          <t>C</t>
        </is>
      </c>
      <c r="L46" s="52" t="n">
        <v>0.589</v>
      </c>
      <c r="M46" s="30" t="inlineStr">
        <is>
          <t>Y</t>
        </is>
      </c>
      <c r="N46" s="30" t="inlineStr">
        <is>
          <t>CY</t>
        </is>
      </c>
      <c r="O46" s="13" t="inlineStr">
        <is>
          <t>LOW</t>
        </is>
      </c>
      <c r="P46" s="13" t="inlineStr">
        <is>
          <t>Standard Reorder Tolerances</t>
        </is>
      </c>
    </row>
    <row r="47" ht="18" customHeight="1">
      <c r="A47" s="31" t="n">
        <v>278</v>
      </c>
      <c r="B47" s="18" t="inlineStr">
        <is>
          <t>Under Armour Men's Compression EV SL Slide</t>
        </is>
      </c>
      <c r="C47" s="18" t="inlineStr">
        <is>
          <t>Electronics</t>
        </is>
      </c>
      <c r="D47" s="18" t="inlineStr">
        <is>
          <t>Footwear</t>
        </is>
      </c>
      <c r="E47" s="22" t="n">
        <v>44.99000168</v>
      </c>
      <c r="F47" s="19" t="n">
        <v>813</v>
      </c>
      <c r="G47" s="22" t="n">
        <v>36576.87</v>
      </c>
      <c r="H47" s="22" t="n">
        <v>3745.34</v>
      </c>
      <c r="I47" s="53" t="n">
        <v>0.001</v>
      </c>
      <c r="J47" s="53" t="n">
        <v>0.96</v>
      </c>
      <c r="K47" s="31" t="inlineStr">
        <is>
          <t>C</t>
        </is>
      </c>
      <c r="L47" s="54" t="n">
        <v>0.612</v>
      </c>
      <c r="M47" s="31" t="inlineStr">
        <is>
          <t>Y</t>
        </is>
      </c>
      <c r="N47" s="31" t="inlineStr">
        <is>
          <t>CY</t>
        </is>
      </c>
      <c r="O47" s="18" t="inlineStr">
        <is>
          <t>LOW</t>
        </is>
      </c>
      <c r="P47" s="18" t="inlineStr">
        <is>
          <t>Standard Reorder Tolerances</t>
        </is>
      </c>
    </row>
    <row r="48" ht="18" customHeight="1">
      <c r="A48" s="30" t="n">
        <v>572</v>
      </c>
      <c r="B48" s="13" t="inlineStr">
        <is>
          <t>TYR Boys' Team Digi Jammer</t>
        </is>
      </c>
      <c r="C48" s="13" t="inlineStr">
        <is>
          <t>Girls' Apparel</t>
        </is>
      </c>
      <c r="D48" s="13" t="inlineStr">
        <is>
          <t>Golf</t>
        </is>
      </c>
      <c r="E48" s="17" t="n">
        <v>39.99000168</v>
      </c>
      <c r="F48" s="14" t="n">
        <v>880</v>
      </c>
      <c r="G48" s="17" t="n">
        <v>35191.2</v>
      </c>
      <c r="H48" s="17" t="n">
        <v>3658.98</v>
      </c>
      <c r="I48" s="51" t="n">
        <v>0.001</v>
      </c>
      <c r="J48" s="51" t="n">
        <v>0.961</v>
      </c>
      <c r="K48" s="30" t="inlineStr">
        <is>
          <t>C</t>
        </is>
      </c>
      <c r="L48" s="52" t="n">
        <v>0.63</v>
      </c>
      <c r="M48" s="30" t="inlineStr">
        <is>
          <t>Y</t>
        </is>
      </c>
      <c r="N48" s="30" t="inlineStr">
        <is>
          <t>CY</t>
        </is>
      </c>
      <c r="O48" s="13" t="inlineStr">
        <is>
          <t>LOW</t>
        </is>
      </c>
      <c r="P48" s="13" t="inlineStr">
        <is>
          <t>Standard Reorder Tolerances</t>
        </is>
      </c>
    </row>
    <row r="49" ht="18" customHeight="1">
      <c r="A49" s="31" t="n">
        <v>771</v>
      </c>
      <c r="B49" s="18" t="inlineStr">
        <is>
          <t>Clicgear Rovic Cooler Bag</t>
        </is>
      </c>
      <c r="C49" s="18" t="inlineStr">
        <is>
          <t>Golf Gloves</t>
        </is>
      </c>
      <c r="D49" s="18" t="inlineStr">
        <is>
          <t>Outdoors</t>
        </is>
      </c>
      <c r="E49" s="22" t="n">
        <v>39.99000168</v>
      </c>
      <c r="F49" s="19" t="n">
        <v>867</v>
      </c>
      <c r="G49" s="22" t="n">
        <v>34671.33</v>
      </c>
      <c r="H49" s="22" t="n">
        <v>2962.96</v>
      </c>
      <c r="I49" s="53" t="n">
        <v>0.0009</v>
      </c>
      <c r="J49" s="53" t="n">
        <v>0.9619</v>
      </c>
      <c r="K49" s="31" t="inlineStr">
        <is>
          <t>C</t>
        </is>
      </c>
      <c r="L49" s="54" t="n">
        <v>0.556</v>
      </c>
      <c r="M49" s="31" t="inlineStr">
        <is>
          <t>Y</t>
        </is>
      </c>
      <c r="N49" s="31" t="inlineStr">
        <is>
          <t>CY</t>
        </is>
      </c>
      <c r="O49" s="18" t="inlineStr">
        <is>
          <t>LOW</t>
        </is>
      </c>
      <c r="P49" s="18" t="inlineStr">
        <is>
          <t>Standard Reorder Tolerances</t>
        </is>
      </c>
    </row>
    <row r="50" ht="18" customHeight="1">
      <c r="A50" s="30" t="n">
        <v>1362</v>
      </c>
      <c r="B50" s="13" t="inlineStr">
        <is>
          <t>Fighting video games</t>
        </is>
      </c>
      <c r="C50" s="13" t="inlineStr">
        <is>
          <t>Video Games</t>
        </is>
      </c>
      <c r="D50" s="13" t="inlineStr">
        <is>
          <t>Discs Shop</t>
        </is>
      </c>
      <c r="E50" s="17" t="n">
        <v>39.75</v>
      </c>
      <c r="F50" s="14" t="n">
        <v>838</v>
      </c>
      <c r="G50" s="17" t="n">
        <v>33310.5</v>
      </c>
      <c r="H50" s="17" t="n">
        <v>2717.52</v>
      </c>
      <c r="I50" s="51" t="n">
        <v>0.0009</v>
      </c>
      <c r="J50" s="51" t="n">
        <v>0.9628</v>
      </c>
      <c r="K50" s="30" t="inlineStr">
        <is>
          <t>C</t>
        </is>
      </c>
      <c r="L50" s="52" t="n">
        <v>0.827</v>
      </c>
      <c r="M50" s="30" t="inlineStr">
        <is>
          <t>Y</t>
        </is>
      </c>
      <c r="N50" s="30" t="inlineStr">
        <is>
          <t>CY</t>
        </is>
      </c>
      <c r="O50" s="13" t="inlineStr">
        <is>
          <t>LOW</t>
        </is>
      </c>
      <c r="P50" s="13" t="inlineStr">
        <is>
          <t>Standard Reorder Tolerances</t>
        </is>
      </c>
    </row>
    <row r="51" ht="18" customHeight="1">
      <c r="A51" s="31" t="n">
        <v>208</v>
      </c>
      <c r="B51" s="18" t="inlineStr">
        <is>
          <t>SOLE E35 Elliptical</t>
        </is>
      </c>
      <c r="C51" s="18" t="inlineStr">
        <is>
          <t>Strength Training</t>
        </is>
      </c>
      <c r="D51" s="18" t="inlineStr">
        <is>
          <t>Footwear</t>
        </is>
      </c>
      <c r="E51" s="22" t="n">
        <v>1999.98999</v>
      </c>
      <c r="F51" s="19" t="n">
        <v>15</v>
      </c>
      <c r="G51" s="22" t="n">
        <v>29999.85</v>
      </c>
      <c r="H51" s="22" t="n">
        <v>-965.12</v>
      </c>
      <c r="I51" s="53" t="n">
        <v>0.0008</v>
      </c>
      <c r="J51" s="53" t="n">
        <v>0.9636</v>
      </c>
      <c r="K51" s="31" t="inlineStr">
        <is>
          <t>C</t>
        </is>
      </c>
      <c r="L51" s="54" t="n">
        <v>9.99</v>
      </c>
      <c r="M51" s="31" t="inlineStr">
        <is>
          <t>Z</t>
        </is>
      </c>
      <c r="N51" s="55" t="inlineStr">
        <is>
          <t>CZ</t>
        </is>
      </c>
      <c r="O51" s="18" t="inlineStr">
        <is>
          <t>PURGE / MONITOR</t>
        </is>
      </c>
      <c r="P51" s="18" t="inlineStr">
        <is>
          <t>Obsolescence Review / Rationalize</t>
        </is>
      </c>
    </row>
    <row r="52" ht="18" customHeight="1">
      <c r="A52" s="30" t="n">
        <v>977</v>
      </c>
      <c r="B52" s="13" t="inlineStr">
        <is>
          <t>ENO Atlas Hammock Straps</t>
        </is>
      </c>
      <c r="C52" s="13" t="inlineStr">
        <is>
          <t>Hunting &amp; Shooting</t>
        </is>
      </c>
      <c r="D52" s="13" t="inlineStr">
        <is>
          <t>Fan Shop</t>
        </is>
      </c>
      <c r="E52" s="17" t="n">
        <v>29.98999977</v>
      </c>
      <c r="F52" s="14" t="n">
        <v>998</v>
      </c>
      <c r="G52" s="17" t="n">
        <v>29930.02</v>
      </c>
      <c r="H52" s="17" t="n">
        <v>2139.58</v>
      </c>
      <c r="I52" s="51" t="n">
        <v>0.0008</v>
      </c>
      <c r="J52" s="51" t="n">
        <v>0.9643999999999999</v>
      </c>
      <c r="K52" s="30" t="inlineStr">
        <is>
          <t>C</t>
        </is>
      </c>
      <c r="L52" s="52" t="n">
        <v>0.629</v>
      </c>
      <c r="M52" s="30" t="inlineStr">
        <is>
          <t>Y</t>
        </is>
      </c>
      <c r="N52" s="30" t="inlineStr">
        <is>
          <t>CY</t>
        </is>
      </c>
      <c r="O52" s="13" t="inlineStr">
        <is>
          <t>LOW</t>
        </is>
      </c>
      <c r="P52" s="13" t="inlineStr">
        <is>
          <t>Standard Reorder Tolerances</t>
        </is>
      </c>
    </row>
    <row r="53" ht="18" customHeight="1">
      <c r="A53" s="31" t="n">
        <v>835</v>
      </c>
      <c r="B53" s="18" t="inlineStr">
        <is>
          <t>Bridgestone e6 Straight Distance NFL Carolina</t>
        </is>
      </c>
      <c r="C53" s="18" t="inlineStr">
        <is>
          <t>Electronics</t>
        </is>
      </c>
      <c r="D53" s="18" t="inlineStr">
        <is>
          <t>Outdoors</t>
        </is>
      </c>
      <c r="E53" s="22" t="n">
        <v>31.98999977</v>
      </c>
      <c r="F53" s="19" t="n">
        <v>928</v>
      </c>
      <c r="G53" s="22" t="n">
        <v>29686.72</v>
      </c>
      <c r="H53" s="22" t="n">
        <v>3188.77</v>
      </c>
      <c r="I53" s="53" t="n">
        <v>0.0008</v>
      </c>
      <c r="J53" s="53" t="n">
        <v>0.9653</v>
      </c>
      <c r="K53" s="31" t="inlineStr">
        <is>
          <t>C</t>
        </is>
      </c>
      <c r="L53" s="54" t="n">
        <v>0.628</v>
      </c>
      <c r="M53" s="31" t="inlineStr">
        <is>
          <t>Y</t>
        </is>
      </c>
      <c r="N53" s="31" t="inlineStr">
        <is>
          <t>CY</t>
        </is>
      </c>
      <c r="O53" s="18" t="inlineStr">
        <is>
          <t>LOW</t>
        </is>
      </c>
      <c r="P53" s="18" t="inlineStr">
        <is>
          <t>Standard Reorder Tolerances</t>
        </is>
      </c>
    </row>
    <row r="54" ht="18" customHeight="1">
      <c r="A54" s="30" t="n">
        <v>235</v>
      </c>
      <c r="B54" s="13" t="inlineStr">
        <is>
          <t>Under Armour Hustle Storm Medium Duffle Bag</t>
        </is>
      </c>
      <c r="C54" s="13" t="inlineStr">
        <is>
          <t>Fitness Accessories</t>
        </is>
      </c>
      <c r="D54" s="13" t="inlineStr">
        <is>
          <t>Footwear</t>
        </is>
      </c>
      <c r="E54" s="17" t="n">
        <v>34.99000168</v>
      </c>
      <c r="F54" s="14" t="n">
        <v>846</v>
      </c>
      <c r="G54" s="17" t="n">
        <v>29601.54</v>
      </c>
      <c r="H54" s="17" t="n">
        <v>4067.61</v>
      </c>
      <c r="I54" s="51" t="n">
        <v>0.0008</v>
      </c>
      <c r="J54" s="51" t="n">
        <v>0.9661</v>
      </c>
      <c r="K54" s="30" t="inlineStr">
        <is>
          <t>C</t>
        </is>
      </c>
      <c r="L54" s="52" t="n">
        <v>0.678</v>
      </c>
      <c r="M54" s="30" t="inlineStr">
        <is>
          <t>Y</t>
        </is>
      </c>
      <c r="N54" s="30" t="inlineStr">
        <is>
          <t>CY</t>
        </is>
      </c>
      <c r="O54" s="13" t="inlineStr">
        <is>
          <t>LOW</t>
        </is>
      </c>
      <c r="P54" s="13" t="inlineStr">
        <is>
          <t>Standard Reorder Tolerances</t>
        </is>
      </c>
    </row>
    <row r="55" ht="18" customHeight="1">
      <c r="A55" s="31" t="n">
        <v>276</v>
      </c>
      <c r="B55" s="18" t="inlineStr">
        <is>
          <t>Under Armour Women's Ignite Slide</t>
        </is>
      </c>
      <c r="C55" s="18" t="inlineStr">
        <is>
          <t>Electronics</t>
        </is>
      </c>
      <c r="D55" s="18" t="inlineStr">
        <is>
          <t>Footwear</t>
        </is>
      </c>
      <c r="E55" s="22" t="n">
        <v>31.98999977</v>
      </c>
      <c r="F55" s="19" t="n">
        <v>919</v>
      </c>
      <c r="G55" s="22" t="n">
        <v>29398.81</v>
      </c>
      <c r="H55" s="22" t="n">
        <v>4030.38</v>
      </c>
      <c r="I55" s="53" t="n">
        <v>0.0008</v>
      </c>
      <c r="J55" s="53" t="n">
        <v>0.9669</v>
      </c>
      <c r="K55" s="31" t="inlineStr">
        <is>
          <t>C</t>
        </is>
      </c>
      <c r="L55" s="54" t="n">
        <v>0.584</v>
      </c>
      <c r="M55" s="31" t="inlineStr">
        <is>
          <t>Y</t>
        </is>
      </c>
      <c r="N55" s="31" t="inlineStr">
        <is>
          <t>CY</t>
        </is>
      </c>
      <c r="O55" s="18" t="inlineStr">
        <is>
          <t>LOW</t>
        </is>
      </c>
      <c r="P55" s="18" t="inlineStr">
        <is>
          <t>Standard Reorder Tolerances</t>
        </is>
      </c>
    </row>
    <row r="56" ht="18" customHeight="1">
      <c r="A56" s="30" t="n">
        <v>828</v>
      </c>
      <c r="B56" s="13" t="inlineStr">
        <is>
          <t>Bridgestone e6 Straight Distance NFL San Dieg</t>
        </is>
      </c>
      <c r="C56" s="13" t="inlineStr">
        <is>
          <t>Electronics</t>
        </is>
      </c>
      <c r="D56" s="13" t="inlineStr">
        <is>
          <t>Outdoors</t>
        </is>
      </c>
      <c r="E56" s="17" t="n">
        <v>31.98999977</v>
      </c>
      <c r="F56" s="14" t="n">
        <v>906</v>
      </c>
      <c r="G56" s="17" t="n">
        <v>28982.94</v>
      </c>
      <c r="H56" s="17" t="n">
        <v>2019.83</v>
      </c>
      <c r="I56" s="51" t="n">
        <v>0.0008</v>
      </c>
      <c r="J56" s="51" t="n">
        <v>0.9676</v>
      </c>
      <c r="K56" s="30" t="inlineStr">
        <is>
          <t>C</t>
        </is>
      </c>
      <c r="L56" s="52" t="n">
        <v>0.572</v>
      </c>
      <c r="M56" s="30" t="inlineStr">
        <is>
          <t>Y</t>
        </is>
      </c>
      <c r="N56" s="30" t="inlineStr">
        <is>
          <t>CY</t>
        </is>
      </c>
      <c r="O56" s="13" t="inlineStr">
        <is>
          <t>LOW</t>
        </is>
      </c>
      <c r="P56" s="13" t="inlineStr">
        <is>
          <t>Standard Reorder Tolerances</t>
        </is>
      </c>
    </row>
    <row r="57" ht="18" customHeight="1">
      <c r="A57" s="31" t="n">
        <v>642</v>
      </c>
      <c r="B57" s="18" t="inlineStr">
        <is>
          <t>Columbia Men's PFG Anchor Tough T-Shirt</t>
        </is>
      </c>
      <c r="C57" s="18" t="inlineStr">
        <is>
          <t>Shop By Sport</t>
        </is>
      </c>
      <c r="D57" s="18" t="inlineStr">
        <is>
          <t>Golf</t>
        </is>
      </c>
      <c r="E57" s="22" t="n">
        <v>30</v>
      </c>
      <c r="F57" s="19" t="n">
        <v>928</v>
      </c>
      <c r="G57" s="22" t="n">
        <v>27840</v>
      </c>
      <c r="H57" s="22" t="n">
        <v>2454.8</v>
      </c>
      <c r="I57" s="53" t="n">
        <v>0.0008</v>
      </c>
      <c r="J57" s="53" t="n">
        <v>0.9684</v>
      </c>
      <c r="K57" s="31" t="inlineStr">
        <is>
          <t>C</t>
        </is>
      </c>
      <c r="L57" s="54" t="n">
        <v>0.613</v>
      </c>
      <c r="M57" s="31" t="inlineStr">
        <is>
          <t>Y</t>
        </is>
      </c>
      <c r="N57" s="31" t="inlineStr">
        <is>
          <t>CY</t>
        </is>
      </c>
      <c r="O57" s="18" t="inlineStr">
        <is>
          <t>LOW</t>
        </is>
      </c>
      <c r="P57" s="18" t="inlineStr">
        <is>
          <t>Standard Reorder Tolerances</t>
        </is>
      </c>
    </row>
    <row r="58" ht="18" customHeight="1">
      <c r="A58" s="30" t="n">
        <v>37</v>
      </c>
      <c r="B58" s="13" t="inlineStr">
        <is>
          <t>adidas Kids' F5 Messi FG Soccer Cleat</t>
        </is>
      </c>
      <c r="C58" s="13" t="inlineStr">
        <is>
          <t>Baseball &amp; Softball</t>
        </is>
      </c>
      <c r="D58" s="13" t="inlineStr">
        <is>
          <t>Fitness</t>
        </is>
      </c>
      <c r="E58" s="17" t="n">
        <v>34.99000168</v>
      </c>
      <c r="F58" s="14" t="n">
        <v>781</v>
      </c>
      <c r="G58" s="17" t="n">
        <v>27327.19</v>
      </c>
      <c r="H58" s="17" t="n">
        <v>2906.33</v>
      </c>
      <c r="I58" s="51" t="n">
        <v>0.0007000000000000001</v>
      </c>
      <c r="J58" s="51" t="n">
        <v>0.9691</v>
      </c>
      <c r="K58" s="30" t="inlineStr">
        <is>
          <t>C</t>
        </is>
      </c>
      <c r="L58" s="52" t="n">
        <v>0.584</v>
      </c>
      <c r="M58" s="30" t="inlineStr">
        <is>
          <t>Y</t>
        </is>
      </c>
      <c r="N58" s="30" t="inlineStr">
        <is>
          <t>CY</t>
        </is>
      </c>
      <c r="O58" s="13" t="inlineStr">
        <is>
          <t>LOW</t>
        </is>
      </c>
      <c r="P58" s="13" t="inlineStr">
        <is>
          <t>Standard Reorder Tolerances</t>
        </is>
      </c>
    </row>
    <row r="59" ht="18" customHeight="1">
      <c r="A59" s="31" t="n">
        <v>172</v>
      </c>
      <c r="B59" s="18" t="inlineStr">
        <is>
          <t>Nike Women's Tempo Shorts</t>
        </is>
      </c>
      <c r="C59" s="18" t="inlineStr">
        <is>
          <t>Cardio Equipment</t>
        </is>
      </c>
      <c r="D59" s="18" t="inlineStr">
        <is>
          <t>Footwear</t>
        </is>
      </c>
      <c r="E59" s="22" t="n">
        <v>30</v>
      </c>
      <c r="F59" s="19" t="n">
        <v>907</v>
      </c>
      <c r="G59" s="22" t="n">
        <v>27210</v>
      </c>
      <c r="H59" s="22" t="n">
        <v>3095.28</v>
      </c>
      <c r="I59" s="53" t="n">
        <v>0.0007000000000000001</v>
      </c>
      <c r="J59" s="53" t="n">
        <v>0.9699</v>
      </c>
      <c r="K59" s="31" t="inlineStr">
        <is>
          <t>C</t>
        </is>
      </c>
      <c r="L59" s="54" t="n">
        <v>0.7</v>
      </c>
      <c r="M59" s="31" t="inlineStr">
        <is>
          <t>Y</t>
        </is>
      </c>
      <c r="N59" s="31" t="inlineStr">
        <is>
          <t>CY</t>
        </is>
      </c>
      <c r="O59" s="18" t="inlineStr">
        <is>
          <t>LOW</t>
        </is>
      </c>
      <c r="P59" s="18" t="inlineStr">
        <is>
          <t>Standard Reorder Tolerances</t>
        </is>
      </c>
    </row>
    <row r="60" ht="18" customHeight="1">
      <c r="A60" s="30" t="n">
        <v>564</v>
      </c>
      <c r="B60" s="13" t="inlineStr">
        <is>
          <t>Nike Men's Deutschland Weltmeister Winners Bl</t>
        </is>
      </c>
      <c r="C60" s="13" t="inlineStr">
        <is>
          <t>Girls' Apparel</t>
        </is>
      </c>
      <c r="D60" s="13" t="inlineStr">
        <is>
          <t>Golf</t>
        </is>
      </c>
      <c r="E60" s="17" t="n">
        <v>30</v>
      </c>
      <c r="F60" s="14" t="n">
        <v>907</v>
      </c>
      <c r="G60" s="17" t="n">
        <v>27210</v>
      </c>
      <c r="H60" s="17" t="n">
        <v>2666.47</v>
      </c>
      <c r="I60" s="51" t="n">
        <v>0.0007000000000000001</v>
      </c>
      <c r="J60" s="51" t="n">
        <v>0.9706</v>
      </c>
      <c r="K60" s="30" t="inlineStr">
        <is>
          <t>C</t>
        </is>
      </c>
      <c r="L60" s="52" t="n">
        <v>0.718</v>
      </c>
      <c r="M60" s="30" t="inlineStr">
        <is>
          <t>Y</t>
        </is>
      </c>
      <c r="N60" s="30" t="inlineStr">
        <is>
          <t>CY</t>
        </is>
      </c>
      <c r="O60" s="13" t="inlineStr">
        <is>
          <t>LOW</t>
        </is>
      </c>
      <c r="P60" s="13" t="inlineStr">
        <is>
          <t>Standard Reorder Tolerances</t>
        </is>
      </c>
    </row>
    <row r="61" ht="18" customHeight="1">
      <c r="A61" s="31" t="n">
        <v>282</v>
      </c>
      <c r="B61" s="18" t="inlineStr">
        <is>
          <t>Under Armour Women's Ignite PIP VI Slide</t>
        </is>
      </c>
      <c r="C61" s="18" t="inlineStr">
        <is>
          <t>Electronics</t>
        </is>
      </c>
      <c r="D61" s="18" t="inlineStr">
        <is>
          <t>Footwear</t>
        </is>
      </c>
      <c r="E61" s="22" t="n">
        <v>31.98999977</v>
      </c>
      <c r="F61" s="19" t="n">
        <v>848</v>
      </c>
      <c r="G61" s="22" t="n">
        <v>27127.52</v>
      </c>
      <c r="H61" s="22" t="n">
        <v>2057.21</v>
      </c>
      <c r="I61" s="53" t="n">
        <v>0.0007000000000000001</v>
      </c>
      <c r="J61" s="53" t="n">
        <v>0.9714</v>
      </c>
      <c r="K61" s="31" t="inlineStr">
        <is>
          <t>C</t>
        </is>
      </c>
      <c r="L61" s="54" t="n">
        <v>0.577</v>
      </c>
      <c r="M61" s="31" t="inlineStr">
        <is>
          <t>Y</t>
        </is>
      </c>
      <c r="N61" s="31" t="inlineStr">
        <is>
          <t>CY</t>
        </is>
      </c>
      <c r="O61" s="18" t="inlineStr">
        <is>
          <t>LOW</t>
        </is>
      </c>
      <c r="P61" s="18" t="inlineStr">
        <is>
          <t>Standard Reorder Tolerances</t>
        </is>
      </c>
    </row>
    <row r="62" ht="18" customHeight="1">
      <c r="A62" s="30" t="n">
        <v>825</v>
      </c>
      <c r="B62" s="13" t="inlineStr">
        <is>
          <t>Bridgestone e6 Straight Distance NFL Tennesse</t>
        </is>
      </c>
      <c r="C62" s="13" t="inlineStr">
        <is>
          <t>Electronics</t>
        </is>
      </c>
      <c r="D62" s="13" t="inlineStr">
        <is>
          <t>Outdoors</t>
        </is>
      </c>
      <c r="E62" s="17" t="n">
        <v>31.98999977</v>
      </c>
      <c r="F62" s="14" t="n">
        <v>805</v>
      </c>
      <c r="G62" s="17" t="n">
        <v>25751.95</v>
      </c>
      <c r="H62" s="17" t="n">
        <v>2361.75</v>
      </c>
      <c r="I62" s="51" t="n">
        <v>0.0007000000000000001</v>
      </c>
      <c r="J62" s="51" t="n">
        <v>0.9721</v>
      </c>
      <c r="K62" s="30" t="inlineStr">
        <is>
          <t>C</t>
        </is>
      </c>
      <c r="L62" s="52" t="n">
        <v>0.646</v>
      </c>
      <c r="M62" s="30" t="inlineStr">
        <is>
          <t>Y</t>
        </is>
      </c>
      <c r="N62" s="30" t="inlineStr">
        <is>
          <t>CY</t>
        </is>
      </c>
      <c r="O62" s="13" t="inlineStr">
        <is>
          <t>LOW</t>
        </is>
      </c>
      <c r="P62" s="13" t="inlineStr">
        <is>
          <t>Standard Reorder Tolerances</t>
        </is>
      </c>
    </row>
    <row r="63" ht="18" customHeight="1">
      <c r="A63" s="31" t="n">
        <v>885</v>
      </c>
      <c r="B63" s="18" t="inlineStr">
        <is>
          <t>Team Golf St. Louis Cardinals Putter Grip</t>
        </is>
      </c>
      <c r="C63" s="18" t="inlineStr">
        <is>
          <t>Accessories</t>
        </is>
      </c>
      <c r="D63" s="18" t="inlineStr">
        <is>
          <t>Outdoors</t>
        </is>
      </c>
      <c r="E63" s="22" t="n">
        <v>24.98999977</v>
      </c>
      <c r="F63" s="19" t="n">
        <v>958</v>
      </c>
      <c r="G63" s="22" t="n">
        <v>23940.42</v>
      </c>
      <c r="H63" s="22" t="n">
        <v>2815.12</v>
      </c>
      <c r="I63" s="53" t="n">
        <v>0.0007000000000000001</v>
      </c>
      <c r="J63" s="53" t="n">
        <v>0.9727</v>
      </c>
      <c r="K63" s="31" t="inlineStr">
        <is>
          <t>C</t>
        </is>
      </c>
      <c r="L63" s="54" t="n">
        <v>0.638</v>
      </c>
      <c r="M63" s="31" t="inlineStr">
        <is>
          <t>Y</t>
        </is>
      </c>
      <c r="N63" s="31" t="inlineStr">
        <is>
          <t>CY</t>
        </is>
      </c>
      <c r="O63" s="18" t="inlineStr">
        <is>
          <t>LOW</t>
        </is>
      </c>
      <c r="P63" s="18" t="inlineStr">
        <is>
          <t>Standard Reorder Tolerances</t>
        </is>
      </c>
    </row>
    <row r="64" ht="18" customHeight="1">
      <c r="A64" s="30" t="n">
        <v>906</v>
      </c>
      <c r="B64" s="13" t="inlineStr">
        <is>
          <t>Team Golf Tennessee Volunteers Putter Grip</t>
        </is>
      </c>
      <c r="C64" s="13" t="inlineStr">
        <is>
          <t>Accessories</t>
        </is>
      </c>
      <c r="D64" s="13" t="inlineStr">
        <is>
          <t>Outdoors</t>
        </is>
      </c>
      <c r="E64" s="17" t="n">
        <v>24.98999977</v>
      </c>
      <c r="F64" s="14" t="n">
        <v>915</v>
      </c>
      <c r="G64" s="17" t="n">
        <v>22865.85</v>
      </c>
      <c r="H64" s="17" t="n">
        <v>2375.05</v>
      </c>
      <c r="I64" s="51" t="n">
        <v>0.0005999999999999999</v>
      </c>
      <c r="J64" s="51" t="n">
        <v>0.9732999999999999</v>
      </c>
      <c r="K64" s="30" t="inlineStr">
        <is>
          <t>C</t>
        </is>
      </c>
      <c r="L64" s="52" t="n">
        <v>0.538</v>
      </c>
      <c r="M64" s="30" t="inlineStr">
        <is>
          <t>Y</t>
        </is>
      </c>
      <c r="N64" s="30" t="inlineStr">
        <is>
          <t>CY</t>
        </is>
      </c>
      <c r="O64" s="13" t="inlineStr">
        <is>
          <t>LOW</t>
        </is>
      </c>
      <c r="P64" s="13" t="inlineStr">
        <is>
          <t>Standard Reorder Tolerances</t>
        </is>
      </c>
    </row>
    <row r="65" ht="18" customHeight="1">
      <c r="A65" s="31" t="n">
        <v>724</v>
      </c>
      <c r="B65" s="18" t="inlineStr">
        <is>
          <t>LIJA Women's Mid-Length Panel Golf Shorts</t>
        </is>
      </c>
      <c r="C65" s="18" t="inlineStr">
        <is>
          <t>Golf Shoes</t>
        </is>
      </c>
      <c r="D65" s="18" t="inlineStr">
        <is>
          <t>Outdoors</t>
        </is>
      </c>
      <c r="E65" s="22" t="n">
        <v>100</v>
      </c>
      <c r="F65" s="19" t="n">
        <v>227</v>
      </c>
      <c r="G65" s="22" t="n">
        <v>22700</v>
      </c>
      <c r="H65" s="22" t="n">
        <v>2984.71</v>
      </c>
      <c r="I65" s="53" t="n">
        <v>0.0005999999999999999</v>
      </c>
      <c r="J65" s="53" t="n">
        <v>0.9740000000000001</v>
      </c>
      <c r="K65" s="31" t="inlineStr">
        <is>
          <t>C</t>
        </is>
      </c>
      <c r="L65" s="54" t="n">
        <v>0.6879999999999999</v>
      </c>
      <c r="M65" s="31" t="inlineStr">
        <is>
          <t>Y</t>
        </is>
      </c>
      <c r="N65" s="31" t="inlineStr">
        <is>
          <t>CY</t>
        </is>
      </c>
      <c r="O65" s="18" t="inlineStr">
        <is>
          <t>LOW</t>
        </is>
      </c>
      <c r="P65" s="18" t="inlineStr">
        <is>
          <t>Standard Reorder Tolerances</t>
        </is>
      </c>
    </row>
    <row r="66" ht="18" customHeight="1">
      <c r="A66" s="30" t="n">
        <v>905</v>
      </c>
      <c r="B66" s="13" t="inlineStr">
        <is>
          <t>Team Golf Texas Longhorns Putter Grip</t>
        </is>
      </c>
      <c r="C66" s="13" t="inlineStr">
        <is>
          <t>Accessories</t>
        </is>
      </c>
      <c r="D66" s="13" t="inlineStr">
        <is>
          <t>Outdoors</t>
        </is>
      </c>
      <c r="E66" s="17" t="n">
        <v>24.98999977</v>
      </c>
      <c r="F66" s="14" t="n">
        <v>895</v>
      </c>
      <c r="G66" s="17" t="n">
        <v>22366.05</v>
      </c>
      <c r="H66" s="17" t="n">
        <v>3079.31</v>
      </c>
      <c r="I66" s="51" t="n">
        <v>0.0005999999999999999</v>
      </c>
      <c r="J66" s="51" t="n">
        <v>0.9745999999999999</v>
      </c>
      <c r="K66" s="30" t="inlineStr">
        <is>
          <t>C</t>
        </is>
      </c>
      <c r="L66" s="52" t="n">
        <v>0.544</v>
      </c>
      <c r="M66" s="30" t="inlineStr">
        <is>
          <t>Y</t>
        </is>
      </c>
      <c r="N66" s="30" t="inlineStr">
        <is>
          <t>CY</t>
        </is>
      </c>
      <c r="O66" s="13" t="inlineStr">
        <is>
          <t>LOW</t>
        </is>
      </c>
      <c r="P66" s="13" t="inlineStr">
        <is>
          <t>Standard Reorder Tolerances</t>
        </is>
      </c>
    </row>
    <row r="67" ht="18" customHeight="1">
      <c r="A67" s="31" t="n">
        <v>273</v>
      </c>
      <c r="B67" s="18" t="inlineStr">
        <is>
          <t>Under Armour Kids' Mercenary Slide</t>
        </is>
      </c>
      <c r="C67" s="18" t="inlineStr">
        <is>
          <t>Electronics</t>
        </is>
      </c>
      <c r="D67" s="18" t="inlineStr">
        <is>
          <t>Footwear</t>
        </is>
      </c>
      <c r="E67" s="22" t="n">
        <v>27.98999977</v>
      </c>
      <c r="F67" s="19" t="n">
        <v>795</v>
      </c>
      <c r="G67" s="22" t="n">
        <v>22252.05</v>
      </c>
      <c r="H67" s="22" t="n">
        <v>2431.97</v>
      </c>
      <c r="I67" s="53" t="n">
        <v>0.0005999999999999999</v>
      </c>
      <c r="J67" s="53" t="n">
        <v>0.9752</v>
      </c>
      <c r="K67" s="31" t="inlineStr">
        <is>
          <t>C</t>
        </is>
      </c>
      <c r="L67" s="54" t="n">
        <v>0.57</v>
      </c>
      <c r="M67" s="31" t="inlineStr">
        <is>
          <t>Y</t>
        </is>
      </c>
      <c r="N67" s="31" t="inlineStr">
        <is>
          <t>CY</t>
        </is>
      </c>
      <c r="O67" s="18" t="inlineStr">
        <is>
          <t>LOW</t>
        </is>
      </c>
      <c r="P67" s="18" t="inlineStr">
        <is>
          <t>Standard Reorder Tolerances</t>
        </is>
      </c>
    </row>
    <row r="68" ht="18" customHeight="1">
      <c r="A68" s="30" t="n">
        <v>893</v>
      </c>
      <c r="B68" s="13" t="inlineStr">
        <is>
          <t>Team Golf Pittsburgh Steelers Putter Grip</t>
        </is>
      </c>
      <c r="C68" s="13" t="inlineStr">
        <is>
          <t>Accessories</t>
        </is>
      </c>
      <c r="D68" s="13" t="inlineStr">
        <is>
          <t>Outdoors</t>
        </is>
      </c>
      <c r="E68" s="17" t="n">
        <v>24.98999977</v>
      </c>
      <c r="F68" s="14" t="n">
        <v>887</v>
      </c>
      <c r="G68" s="17" t="n">
        <v>22166.13</v>
      </c>
      <c r="H68" s="17" t="n">
        <v>3039.53</v>
      </c>
      <c r="I68" s="51" t="n">
        <v>0.0005999999999999999</v>
      </c>
      <c r="J68" s="51" t="n">
        <v>0.9758</v>
      </c>
      <c r="K68" s="30" t="inlineStr">
        <is>
          <t>C</t>
        </is>
      </c>
      <c r="L68" s="52" t="n">
        <v>0.589</v>
      </c>
      <c r="M68" s="30" t="inlineStr">
        <is>
          <t>Y</t>
        </is>
      </c>
      <c r="N68" s="30" t="inlineStr">
        <is>
          <t>CY</t>
        </is>
      </c>
      <c r="O68" s="13" t="inlineStr">
        <is>
          <t>LOW</t>
        </is>
      </c>
      <c r="P68" s="13" t="inlineStr">
        <is>
          <t>Standard Reorder Tolerances</t>
        </is>
      </c>
    </row>
    <row r="69" ht="18" customHeight="1">
      <c r="A69" s="31" t="n">
        <v>886</v>
      </c>
      <c r="B69" s="18" t="inlineStr">
        <is>
          <t>Team Golf San Francisco Giants Putter Grip</t>
        </is>
      </c>
      <c r="C69" s="18" t="inlineStr">
        <is>
          <t>Accessories</t>
        </is>
      </c>
      <c r="D69" s="18" t="inlineStr">
        <is>
          <t>Outdoors</t>
        </is>
      </c>
      <c r="E69" s="22" t="n">
        <v>24.98999977</v>
      </c>
      <c r="F69" s="19" t="n">
        <v>871</v>
      </c>
      <c r="G69" s="22" t="n">
        <v>21766.29</v>
      </c>
      <c r="H69" s="22" t="n">
        <v>2785.93</v>
      </c>
      <c r="I69" s="53" t="n">
        <v>0.0005999999999999999</v>
      </c>
      <c r="J69" s="53" t="n">
        <v>0.9764</v>
      </c>
      <c r="K69" s="31" t="inlineStr">
        <is>
          <t>C</t>
        </is>
      </c>
      <c r="L69" s="54" t="n">
        <v>0.594</v>
      </c>
      <c r="M69" s="31" t="inlineStr">
        <is>
          <t>Y</t>
        </is>
      </c>
      <c r="N69" s="31" t="inlineStr">
        <is>
          <t>CY</t>
        </is>
      </c>
      <c r="O69" s="18" t="inlineStr">
        <is>
          <t>LOW</t>
        </is>
      </c>
      <c r="P69" s="18" t="inlineStr">
        <is>
          <t>Standard Reorder Tolerances</t>
        </is>
      </c>
    </row>
    <row r="70" ht="18" customHeight="1">
      <c r="A70" s="30" t="n">
        <v>567</v>
      </c>
      <c r="B70" s="13" t="inlineStr">
        <is>
          <t>adidas Men's Germany Black Crest Away Tee</t>
        </is>
      </c>
      <c r="C70" s="13" t="inlineStr">
        <is>
          <t>Girls' Apparel</t>
        </is>
      </c>
      <c r="D70" s="13" t="inlineStr">
        <is>
          <t>Golf</t>
        </is>
      </c>
      <c r="E70" s="17" t="n">
        <v>25</v>
      </c>
      <c r="F70" s="14" t="n">
        <v>859</v>
      </c>
      <c r="G70" s="17" t="n">
        <v>21475</v>
      </c>
      <c r="H70" s="17" t="n">
        <v>2833.72</v>
      </c>
      <c r="I70" s="51" t="n">
        <v>0.0005999999999999999</v>
      </c>
      <c r="J70" s="51" t="n">
        <v>0.9769</v>
      </c>
      <c r="K70" s="30" t="inlineStr">
        <is>
          <t>C</t>
        </is>
      </c>
      <c r="L70" s="52" t="n">
        <v>0.637</v>
      </c>
      <c r="M70" s="30" t="inlineStr">
        <is>
          <t>Y</t>
        </is>
      </c>
      <c r="N70" s="30" t="inlineStr">
        <is>
          <t>CY</t>
        </is>
      </c>
      <c r="O70" s="13" t="inlineStr">
        <is>
          <t>LOW</t>
        </is>
      </c>
      <c r="P70" s="13" t="inlineStr">
        <is>
          <t>Standard Reorder Tolerances</t>
        </is>
      </c>
    </row>
    <row r="71" ht="18" customHeight="1">
      <c r="A71" s="31" t="n">
        <v>778</v>
      </c>
      <c r="B71" s="18" t="inlineStr">
        <is>
          <t>Bag Boy Beverage Holder</t>
        </is>
      </c>
      <c r="C71" s="18" t="inlineStr">
        <is>
          <t>Golf Gloves</t>
        </is>
      </c>
      <c r="D71" s="18" t="inlineStr">
        <is>
          <t>Outdoors</t>
        </is>
      </c>
      <c r="E71" s="22" t="n">
        <v>24.98999977</v>
      </c>
      <c r="F71" s="19" t="n">
        <v>845</v>
      </c>
      <c r="G71" s="22" t="n">
        <v>21116.55</v>
      </c>
      <c r="H71" s="22" t="n">
        <v>3173.78</v>
      </c>
      <c r="I71" s="53" t="n">
        <v>0.0005999999999999999</v>
      </c>
      <c r="J71" s="53" t="n">
        <v>0.9775</v>
      </c>
      <c r="K71" s="31" t="inlineStr">
        <is>
          <t>C</t>
        </is>
      </c>
      <c r="L71" s="54" t="n">
        <v>0.614</v>
      </c>
      <c r="M71" s="31" t="inlineStr">
        <is>
          <t>Y</t>
        </is>
      </c>
      <c r="N71" s="31" t="inlineStr">
        <is>
          <t>CY</t>
        </is>
      </c>
      <c r="O71" s="18" t="inlineStr">
        <is>
          <t>LOW</t>
        </is>
      </c>
      <c r="P71" s="18" t="inlineStr">
        <is>
          <t>Standard Reorder Tolerances</t>
        </is>
      </c>
    </row>
    <row r="72" ht="18" customHeight="1">
      <c r="A72" s="30" t="n">
        <v>93</v>
      </c>
      <c r="B72" s="13" t="inlineStr">
        <is>
          <t>Under Armour Men's Tech II T-Shirt</t>
        </is>
      </c>
      <c r="C72" s="13" t="inlineStr">
        <is>
          <t>Lacrosse</t>
        </is>
      </c>
      <c r="D72" s="13" t="inlineStr">
        <is>
          <t>Fitness</t>
        </is>
      </c>
      <c r="E72" s="17" t="n">
        <v>24.98999977</v>
      </c>
      <c r="F72" s="14" t="n">
        <v>835</v>
      </c>
      <c r="G72" s="17" t="n">
        <v>20866.65</v>
      </c>
      <c r="H72" s="17" t="n">
        <v>2387.41</v>
      </c>
      <c r="I72" s="51" t="n">
        <v>0.0005999999999999999</v>
      </c>
      <c r="J72" s="51" t="n">
        <v>0.9781</v>
      </c>
      <c r="K72" s="30" t="inlineStr">
        <is>
          <t>C</t>
        </is>
      </c>
      <c r="L72" s="52" t="n">
        <v>0.639</v>
      </c>
      <c r="M72" s="30" t="inlineStr">
        <is>
          <t>Y</t>
        </is>
      </c>
      <c r="N72" s="30" t="inlineStr">
        <is>
          <t>CY</t>
        </is>
      </c>
      <c r="O72" s="13" t="inlineStr">
        <is>
          <t>LOW</t>
        </is>
      </c>
      <c r="P72" s="13" t="inlineStr">
        <is>
          <t>Standard Reorder Tolerances</t>
        </is>
      </c>
    </row>
    <row r="73" ht="18" customHeight="1">
      <c r="A73" s="31" t="n">
        <v>646</v>
      </c>
      <c r="B73" s="18" t="inlineStr">
        <is>
          <t>Merrell Women's Grassbow Sport Hiking Shoe</t>
        </is>
      </c>
      <c r="C73" s="18" t="inlineStr">
        <is>
          <t>Men's Golf Clubs</t>
        </is>
      </c>
      <c r="D73" s="18" t="inlineStr">
        <is>
          <t>Outdoors</t>
        </is>
      </c>
      <c r="E73" s="22" t="n">
        <v>99.98999786</v>
      </c>
      <c r="F73" s="19" t="n">
        <v>207</v>
      </c>
      <c r="G73" s="22" t="n">
        <v>20697.93</v>
      </c>
      <c r="H73" s="22" t="n">
        <v>1818.65</v>
      </c>
      <c r="I73" s="53" t="n">
        <v>0.0005999999999999999</v>
      </c>
      <c r="J73" s="53" t="n">
        <v>0.9786</v>
      </c>
      <c r="K73" s="31" t="inlineStr">
        <is>
          <t>C</t>
        </is>
      </c>
      <c r="L73" s="54" t="n">
        <v>0.649</v>
      </c>
      <c r="M73" s="31" t="inlineStr">
        <is>
          <t>Y</t>
        </is>
      </c>
      <c r="N73" s="31" t="inlineStr">
        <is>
          <t>CY</t>
        </is>
      </c>
      <c r="O73" s="18" t="inlineStr">
        <is>
          <t>LOW</t>
        </is>
      </c>
      <c r="P73" s="18" t="inlineStr">
        <is>
          <t>Standard Reorder Tolerances</t>
        </is>
      </c>
    </row>
    <row r="74" ht="18" customHeight="1">
      <c r="A74" s="30" t="n">
        <v>359</v>
      </c>
      <c r="B74" s="13" t="inlineStr">
        <is>
          <t>Nike Men's Free TR 5.0 TB Training Shoe</t>
        </is>
      </c>
      <c r="C74" s="13" t="inlineStr">
        <is>
          <t>As Seen on  TV!</t>
        </is>
      </c>
      <c r="D74" s="13" t="inlineStr">
        <is>
          <t>Footwear</t>
        </is>
      </c>
      <c r="E74" s="17" t="n">
        <v>99.98999786</v>
      </c>
      <c r="F74" s="14" t="n">
        <v>206</v>
      </c>
      <c r="G74" s="17" t="n">
        <v>20597.94</v>
      </c>
      <c r="H74" s="17" t="n">
        <v>714.4299999999999</v>
      </c>
      <c r="I74" s="51" t="n">
        <v>0.0005999999999999999</v>
      </c>
      <c r="J74" s="51" t="n">
        <v>0.9792000000000001</v>
      </c>
      <c r="K74" s="30" t="inlineStr">
        <is>
          <t>C</t>
        </is>
      </c>
      <c r="L74" s="52" t="n">
        <v>0.46</v>
      </c>
      <c r="M74" s="30" t="inlineStr">
        <is>
          <t>X</t>
        </is>
      </c>
      <c r="N74" s="30" t="inlineStr">
        <is>
          <t>CX</t>
        </is>
      </c>
      <c r="O74" s="13" t="inlineStr">
        <is>
          <t>LOW</t>
        </is>
      </c>
      <c r="P74" s="13" t="inlineStr">
        <is>
          <t>Bulk Order / High MOQ</t>
        </is>
      </c>
    </row>
    <row r="75" ht="18" customHeight="1">
      <c r="A75" s="31" t="n">
        <v>897</v>
      </c>
      <c r="B75" s="18" t="inlineStr">
        <is>
          <t>Team Golf New England Patriots Putter Grip</t>
        </is>
      </c>
      <c r="C75" s="18" t="inlineStr">
        <is>
          <t>Accessories</t>
        </is>
      </c>
      <c r="D75" s="18" t="inlineStr">
        <is>
          <t>Outdoors</t>
        </is>
      </c>
      <c r="E75" s="22" t="n">
        <v>24.98999977</v>
      </c>
      <c r="F75" s="19" t="n">
        <v>823</v>
      </c>
      <c r="G75" s="22" t="n">
        <v>20566.77</v>
      </c>
      <c r="H75" s="22" t="n">
        <v>2548.58</v>
      </c>
      <c r="I75" s="53" t="n">
        <v>0.0005999999999999999</v>
      </c>
      <c r="J75" s="53" t="n">
        <v>0.9798</v>
      </c>
      <c r="K75" s="31" t="inlineStr">
        <is>
          <t>C</t>
        </is>
      </c>
      <c r="L75" s="54" t="n">
        <v>0.61</v>
      </c>
      <c r="M75" s="31" t="inlineStr">
        <is>
          <t>Y</t>
        </is>
      </c>
      <c r="N75" s="31" t="inlineStr">
        <is>
          <t>CY</t>
        </is>
      </c>
      <c r="O75" s="18" t="inlineStr">
        <is>
          <t>LOW</t>
        </is>
      </c>
      <c r="P75" s="18" t="inlineStr">
        <is>
          <t>Standard Reorder Tolerances</t>
        </is>
      </c>
    </row>
    <row r="76" ht="18" customHeight="1">
      <c r="A76" s="30" t="n">
        <v>917</v>
      </c>
      <c r="B76" s="13" t="inlineStr">
        <is>
          <t>Glove It Women's Mod Oval 3-Zip Carry All Gol</t>
        </is>
      </c>
      <c r="C76" s="13" t="inlineStr">
        <is>
          <t>Trade-In</t>
        </is>
      </c>
      <c r="D76" s="13" t="inlineStr">
        <is>
          <t>Outdoors</t>
        </is>
      </c>
      <c r="E76" s="17" t="n">
        <v>21.98999977</v>
      </c>
      <c r="F76" s="14" t="n">
        <v>930</v>
      </c>
      <c r="G76" s="17" t="n">
        <v>20450.7</v>
      </c>
      <c r="H76" s="17" t="n">
        <v>2257.82</v>
      </c>
      <c r="I76" s="51" t="n">
        <v>0.0005999999999999999</v>
      </c>
      <c r="J76" s="51" t="n">
        <v>0.9803000000000001</v>
      </c>
      <c r="K76" s="30" t="inlineStr">
        <is>
          <t>C</t>
        </is>
      </c>
      <c r="L76" s="52" t="n">
        <v>0.5629999999999999</v>
      </c>
      <c r="M76" s="30" t="inlineStr">
        <is>
          <t>Y</t>
        </is>
      </c>
      <c r="N76" s="30" t="inlineStr">
        <is>
          <t>CY</t>
        </is>
      </c>
      <c r="O76" s="13" t="inlineStr">
        <is>
          <t>LOW</t>
        </is>
      </c>
      <c r="P76" s="13" t="inlineStr">
        <is>
          <t>Standard Reorder Tolerances</t>
        </is>
      </c>
    </row>
    <row r="77" ht="18" customHeight="1">
      <c r="A77" s="31" t="n">
        <v>134</v>
      </c>
      <c r="B77" s="18" t="inlineStr">
        <is>
          <t>Nike Women's Legend V-Neck T-Shirt</t>
        </is>
      </c>
      <c r="C77" s="18" t="inlineStr">
        <is>
          <t>Hockey</t>
        </is>
      </c>
      <c r="D77" s="18" t="inlineStr">
        <is>
          <t>Fitness</t>
        </is>
      </c>
      <c r="E77" s="22" t="n">
        <v>25</v>
      </c>
      <c r="F77" s="19" t="n">
        <v>801</v>
      </c>
      <c r="G77" s="22" t="n">
        <v>20025</v>
      </c>
      <c r="H77" s="22" t="n">
        <v>2772.66</v>
      </c>
      <c r="I77" s="53" t="n">
        <v>0.0005</v>
      </c>
      <c r="J77" s="53" t="n">
        <v>0.9809</v>
      </c>
      <c r="K77" s="31" t="inlineStr">
        <is>
          <t>C</t>
        </is>
      </c>
      <c r="L77" s="54" t="n">
        <v>0.651</v>
      </c>
      <c r="M77" s="31" t="inlineStr">
        <is>
          <t>Y</t>
        </is>
      </c>
      <c r="N77" s="31" t="inlineStr">
        <is>
          <t>CY</t>
        </is>
      </c>
      <c r="O77" s="18" t="inlineStr">
        <is>
          <t>LOW</t>
        </is>
      </c>
      <c r="P77" s="18" t="inlineStr">
        <is>
          <t>Standard Reorder Tolerances</t>
        </is>
      </c>
    </row>
    <row r="78" ht="18" customHeight="1">
      <c r="A78" s="30" t="n">
        <v>258</v>
      </c>
      <c r="B78" s="13" t="inlineStr">
        <is>
          <t>Nike Women's Free 5.0 TR FIT PRT 4 Training S</t>
        </is>
      </c>
      <c r="C78" s="13" t="inlineStr">
        <is>
          <t>Boxing &amp; MMA</t>
        </is>
      </c>
      <c r="D78" s="13" t="inlineStr">
        <is>
          <t>Footwear</t>
        </is>
      </c>
      <c r="E78" s="17" t="n">
        <v>94.98999786</v>
      </c>
      <c r="F78" s="14" t="n">
        <v>206</v>
      </c>
      <c r="G78" s="17" t="n">
        <v>19567.94</v>
      </c>
      <c r="H78" s="17" t="n">
        <v>1564.75</v>
      </c>
      <c r="I78" s="51" t="n">
        <v>0.0005</v>
      </c>
      <c r="J78" s="51" t="n">
        <v>0.9814000000000001</v>
      </c>
      <c r="K78" s="30" t="inlineStr">
        <is>
          <t>C</t>
        </is>
      </c>
      <c r="L78" s="52" t="n">
        <v>0.494</v>
      </c>
      <c r="M78" s="30" t="inlineStr">
        <is>
          <t>X</t>
        </is>
      </c>
      <c r="N78" s="30" t="inlineStr">
        <is>
          <t>CX</t>
        </is>
      </c>
      <c r="O78" s="13" t="inlineStr">
        <is>
          <t>LOW</t>
        </is>
      </c>
      <c r="P78" s="13" t="inlineStr">
        <is>
          <t>Bulk Order / High MOQ</t>
        </is>
      </c>
    </row>
    <row r="79" ht="18" customHeight="1">
      <c r="A79" s="31" t="n">
        <v>135</v>
      </c>
      <c r="B79" s="18" t="inlineStr">
        <is>
          <t>Nike Dri-FIT Crew Sock 6 Pack</t>
        </is>
      </c>
      <c r="C79" s="18" t="inlineStr">
        <is>
          <t>Hockey</t>
        </is>
      </c>
      <c r="D79" s="18" t="inlineStr">
        <is>
          <t>Fitness</t>
        </is>
      </c>
      <c r="E79" s="22" t="n">
        <v>22</v>
      </c>
      <c r="F79" s="19" t="n">
        <v>883</v>
      </c>
      <c r="G79" s="22" t="n">
        <v>19426</v>
      </c>
      <c r="H79" s="22" t="n">
        <v>2145.49</v>
      </c>
      <c r="I79" s="53" t="n">
        <v>0.0005</v>
      </c>
      <c r="J79" s="53" t="n">
        <v>0.9819</v>
      </c>
      <c r="K79" s="31" t="inlineStr">
        <is>
          <t>C</t>
        </is>
      </c>
      <c r="L79" s="54" t="n">
        <v>0.638</v>
      </c>
      <c r="M79" s="31" t="inlineStr">
        <is>
          <t>Y</t>
        </is>
      </c>
      <c r="N79" s="31" t="inlineStr">
        <is>
          <t>CY</t>
        </is>
      </c>
      <c r="O79" s="18" t="inlineStr">
        <is>
          <t>LOW</t>
        </is>
      </c>
      <c r="P79" s="18" t="inlineStr">
        <is>
          <t>Standard Reorder Tolerances</t>
        </is>
      </c>
    </row>
    <row r="80" ht="18" customHeight="1">
      <c r="A80" s="30" t="n">
        <v>677</v>
      </c>
      <c r="B80" s="13" t="inlineStr">
        <is>
          <t>TaylorMade White Smoke IN-12 Putter</t>
        </is>
      </c>
      <c r="C80" s="13" t="inlineStr">
        <is>
          <t>Women's Golf Clubs</t>
        </is>
      </c>
      <c r="D80" s="13" t="inlineStr">
        <is>
          <t>Outdoors</t>
        </is>
      </c>
      <c r="E80" s="17" t="n">
        <v>99.98999786</v>
      </c>
      <c r="F80" s="14" t="n">
        <v>193</v>
      </c>
      <c r="G80" s="17" t="n">
        <v>19298.07</v>
      </c>
      <c r="H80" s="17" t="n">
        <v>2540.4</v>
      </c>
      <c r="I80" s="51" t="n">
        <v>0.0005</v>
      </c>
      <c r="J80" s="51" t="n">
        <v>0.9825</v>
      </c>
      <c r="K80" s="30" t="inlineStr">
        <is>
          <t>C</t>
        </is>
      </c>
      <c r="L80" s="52" t="n">
        <v>0.509</v>
      </c>
      <c r="M80" s="30" t="inlineStr">
        <is>
          <t>Y</t>
        </is>
      </c>
      <c r="N80" s="30" t="inlineStr">
        <is>
          <t>CY</t>
        </is>
      </c>
      <c r="O80" s="13" t="inlineStr">
        <is>
          <t>LOW</t>
        </is>
      </c>
      <c r="P80" s="13" t="inlineStr">
        <is>
          <t>Standard Reorder Tolerances</t>
        </is>
      </c>
    </row>
    <row r="81" ht="18" customHeight="1">
      <c r="A81" s="31" t="n">
        <v>607</v>
      </c>
      <c r="B81" s="18" t="inlineStr">
        <is>
          <t>Garmin Approach S3 Golf GPS Watch</t>
        </is>
      </c>
      <c r="C81" s="18" t="inlineStr">
        <is>
          <t>Trade-In</t>
        </is>
      </c>
      <c r="D81" s="18" t="inlineStr">
        <is>
          <t>Outdoors</t>
        </is>
      </c>
      <c r="E81" s="22" t="n">
        <v>249.9900055</v>
      </c>
      <c r="F81" s="19" t="n">
        <v>77</v>
      </c>
      <c r="G81" s="22" t="n">
        <v>19249.23</v>
      </c>
      <c r="H81" s="22" t="n">
        <v>2432.33</v>
      </c>
      <c r="I81" s="53" t="n">
        <v>0.0005</v>
      </c>
      <c r="J81" s="53" t="n">
        <v>0.983</v>
      </c>
      <c r="K81" s="31" t="inlineStr">
        <is>
          <t>C</t>
        </is>
      </c>
      <c r="L81" s="54" t="n">
        <v>0.423</v>
      </c>
      <c r="M81" s="31" t="inlineStr">
        <is>
          <t>X</t>
        </is>
      </c>
      <c r="N81" s="31" t="inlineStr">
        <is>
          <t>CX</t>
        </is>
      </c>
      <c r="O81" s="18" t="inlineStr">
        <is>
          <t>LOW</t>
        </is>
      </c>
      <c r="P81" s="18" t="inlineStr">
        <is>
          <t>Bulk Order / High MOQ</t>
        </is>
      </c>
    </row>
    <row r="82" ht="18" customHeight="1">
      <c r="A82" s="30" t="n">
        <v>251</v>
      </c>
      <c r="B82" s="13" t="inlineStr">
        <is>
          <t>Brooks Women's Ghost 6 Running Shoe</t>
        </is>
      </c>
      <c r="C82" s="13" t="inlineStr">
        <is>
          <t>Boxing &amp; MMA</t>
        </is>
      </c>
      <c r="D82" s="13" t="inlineStr">
        <is>
          <t>Footwear</t>
        </is>
      </c>
      <c r="E82" s="17" t="n">
        <v>89.98999786</v>
      </c>
      <c r="F82" s="14" t="n">
        <v>212</v>
      </c>
      <c r="G82" s="17" t="n">
        <v>19077.88</v>
      </c>
      <c r="H82" s="17" t="n">
        <v>2606.85</v>
      </c>
      <c r="I82" s="51" t="n">
        <v>0.0005</v>
      </c>
      <c r="J82" s="51" t="n">
        <v>0.9834999999999999</v>
      </c>
      <c r="K82" s="30" t="inlineStr">
        <is>
          <t>C</t>
        </is>
      </c>
      <c r="L82" s="52" t="n">
        <v>0.579</v>
      </c>
      <c r="M82" s="30" t="inlineStr">
        <is>
          <t>Y</t>
        </is>
      </c>
      <c r="N82" s="30" t="inlineStr">
        <is>
          <t>CY</t>
        </is>
      </c>
      <c r="O82" s="13" t="inlineStr">
        <is>
          <t>LOW</t>
        </is>
      </c>
      <c r="P82" s="13" t="inlineStr">
        <is>
          <t>Standard Reorder Tolerances</t>
        </is>
      </c>
    </row>
    <row r="83" ht="18" customHeight="1">
      <c r="A83" s="31" t="n">
        <v>804</v>
      </c>
      <c r="B83" s="18" t="inlineStr">
        <is>
          <t>Glove It Women's Imperial Golf Glove</t>
        </is>
      </c>
      <c r="C83" s="18" t="inlineStr">
        <is>
          <t>Golf Balls</t>
        </is>
      </c>
      <c r="D83" s="18" t="inlineStr">
        <is>
          <t>Outdoors</t>
        </is>
      </c>
      <c r="E83" s="22" t="n">
        <v>19.98999977</v>
      </c>
      <c r="F83" s="19" t="n">
        <v>941</v>
      </c>
      <c r="G83" s="22" t="n">
        <v>18810.59</v>
      </c>
      <c r="H83" s="22" t="n">
        <v>2122.95</v>
      </c>
      <c r="I83" s="53" t="n">
        <v>0.0005</v>
      </c>
      <c r="J83" s="53" t="n">
        <v>0.9840000000000001</v>
      </c>
      <c r="K83" s="31" t="inlineStr">
        <is>
          <t>C</t>
        </is>
      </c>
      <c r="L83" s="54" t="n">
        <v>0.653</v>
      </c>
      <c r="M83" s="31" t="inlineStr">
        <is>
          <t>Y</t>
        </is>
      </c>
      <c r="N83" s="31" t="inlineStr">
        <is>
          <t>CY</t>
        </is>
      </c>
      <c r="O83" s="18" t="inlineStr">
        <is>
          <t>LOW</t>
        </is>
      </c>
      <c r="P83" s="18" t="inlineStr">
        <is>
          <t>Standard Reorder Tolerances</t>
        </is>
      </c>
    </row>
    <row r="84" ht="18" customHeight="1">
      <c r="A84" s="30" t="n">
        <v>295</v>
      </c>
      <c r="B84" s="13" t="inlineStr">
        <is>
          <t>Fitbit The One Wireless Activity &amp; Sleep Trac</t>
        </is>
      </c>
      <c r="C84" s="13" t="inlineStr">
        <is>
          <t>Kids' Golf Clubs</t>
        </is>
      </c>
      <c r="D84" s="13" t="inlineStr">
        <is>
          <t>Outdoors</t>
        </is>
      </c>
      <c r="E84" s="17" t="n">
        <v>99.94999695</v>
      </c>
      <c r="F84" s="14" t="n">
        <v>187</v>
      </c>
      <c r="G84" s="17" t="n">
        <v>18690.65</v>
      </c>
      <c r="H84" s="17" t="n">
        <v>2088.02</v>
      </c>
      <c r="I84" s="51" t="n">
        <v>0.0005</v>
      </c>
      <c r="J84" s="51" t="n">
        <v>0.9845</v>
      </c>
      <c r="K84" s="30" t="inlineStr">
        <is>
          <t>C</t>
        </is>
      </c>
      <c r="L84" s="52" t="n">
        <v>0.49</v>
      </c>
      <c r="M84" s="30" t="inlineStr">
        <is>
          <t>X</t>
        </is>
      </c>
      <c r="N84" s="30" t="inlineStr">
        <is>
          <t>CX</t>
        </is>
      </c>
      <c r="O84" s="13" t="inlineStr">
        <is>
          <t>LOW</t>
        </is>
      </c>
      <c r="P84" s="13" t="inlineStr">
        <is>
          <t>Bulk Order / High MOQ</t>
        </is>
      </c>
    </row>
    <row r="85" ht="18" customHeight="1">
      <c r="A85" s="31" t="n">
        <v>78</v>
      </c>
      <c r="B85" s="18" t="inlineStr">
        <is>
          <t>Nike Kids' Grade School KD VI Basketball Shoe</t>
        </is>
      </c>
      <c r="C85" s="18" t="inlineStr">
        <is>
          <t>Lacrosse</t>
        </is>
      </c>
      <c r="D85" s="18" t="inlineStr">
        <is>
          <t>Fitness</t>
        </is>
      </c>
      <c r="E85" s="22" t="n">
        <v>99.98999786</v>
      </c>
      <c r="F85" s="19" t="n">
        <v>186</v>
      </c>
      <c r="G85" s="22" t="n">
        <v>18598.14</v>
      </c>
      <c r="H85" s="22" t="n">
        <v>1976.88</v>
      </c>
      <c r="I85" s="53" t="n">
        <v>0.0005</v>
      </c>
      <c r="J85" s="53" t="n">
        <v>0.985</v>
      </c>
      <c r="K85" s="31" t="inlineStr">
        <is>
          <t>C</t>
        </is>
      </c>
      <c r="L85" s="54" t="n">
        <v>0.467</v>
      </c>
      <c r="M85" s="31" t="inlineStr">
        <is>
          <t>X</t>
        </is>
      </c>
      <c r="N85" s="31" t="inlineStr">
        <is>
          <t>CX</t>
        </is>
      </c>
      <c r="O85" s="18" t="inlineStr">
        <is>
          <t>LOW</t>
        </is>
      </c>
      <c r="P85" s="18" t="inlineStr">
        <is>
          <t>Bulk Order / High MOQ</t>
        </is>
      </c>
    </row>
    <row r="86" ht="18" customHeight="1">
      <c r="A86" s="30" t="n">
        <v>24</v>
      </c>
      <c r="B86" s="13" t="inlineStr">
        <is>
          <t>Elevation Training Mask 2.0</t>
        </is>
      </c>
      <c r="C86" s="13" t="inlineStr">
        <is>
          <t>Soccer</t>
        </is>
      </c>
      <c r="D86" s="13" t="inlineStr">
        <is>
          <t>Fitness</t>
        </is>
      </c>
      <c r="E86" s="17" t="n">
        <v>79.98999786</v>
      </c>
      <c r="F86" s="14" t="n">
        <v>231</v>
      </c>
      <c r="G86" s="17" t="n">
        <v>18477.69</v>
      </c>
      <c r="H86" s="17" t="n">
        <v>3299.57</v>
      </c>
      <c r="I86" s="51" t="n">
        <v>0.0005</v>
      </c>
      <c r="J86" s="51" t="n">
        <v>0.9854999999999999</v>
      </c>
      <c r="K86" s="30" t="inlineStr">
        <is>
          <t>C</t>
        </is>
      </c>
      <c r="L86" s="52" t="n">
        <v>0.44</v>
      </c>
      <c r="M86" s="30" t="inlineStr">
        <is>
          <t>X</t>
        </is>
      </c>
      <c r="N86" s="30" t="inlineStr">
        <is>
          <t>CX</t>
        </is>
      </c>
      <c r="O86" s="13" t="inlineStr">
        <is>
          <t>LOW</t>
        </is>
      </c>
      <c r="P86" s="13" t="inlineStr">
        <is>
          <t>Bulk Order / High MOQ</t>
        </is>
      </c>
    </row>
    <row r="87" ht="18" customHeight="1">
      <c r="A87" s="31" t="n">
        <v>981</v>
      </c>
      <c r="B87" s="18" t="inlineStr">
        <is>
          <t>The North Face Women's Recon Backpack</t>
        </is>
      </c>
      <c r="C87" s="18" t="inlineStr">
        <is>
          <t>Hunting &amp; Shooting</t>
        </is>
      </c>
      <c r="D87" s="18" t="inlineStr">
        <is>
          <t>Fan Shop</t>
        </is>
      </c>
      <c r="E87" s="22" t="n">
        <v>99</v>
      </c>
      <c r="F87" s="19" t="n">
        <v>181</v>
      </c>
      <c r="G87" s="22" t="n">
        <v>17919</v>
      </c>
      <c r="H87" s="22" t="n">
        <v>2803.8</v>
      </c>
      <c r="I87" s="53" t="n">
        <v>0.0005</v>
      </c>
      <c r="J87" s="53" t="n">
        <v>0.986</v>
      </c>
      <c r="K87" s="31" t="inlineStr">
        <is>
          <t>C</t>
        </is>
      </c>
      <c r="L87" s="54" t="n">
        <v>0.6820000000000001</v>
      </c>
      <c r="M87" s="31" t="inlineStr">
        <is>
          <t>Y</t>
        </is>
      </c>
      <c r="N87" s="31" t="inlineStr">
        <is>
          <t>CY</t>
        </is>
      </c>
      <c r="O87" s="18" t="inlineStr">
        <is>
          <t>LOW</t>
        </is>
      </c>
      <c r="P87" s="18" t="inlineStr">
        <is>
          <t>Standard Reorder Tolerances</t>
        </is>
      </c>
    </row>
    <row r="88" ht="18" customHeight="1">
      <c r="A88" s="30" t="n">
        <v>703</v>
      </c>
      <c r="B88" s="13" t="inlineStr">
        <is>
          <t>Top Flite Women's 2014 XL Hybrid</t>
        </is>
      </c>
      <c r="C88" s="13" t="inlineStr">
        <is>
          <t>Golf Apparel</t>
        </is>
      </c>
      <c r="D88" s="13" t="inlineStr">
        <is>
          <t>Outdoors</t>
        </is>
      </c>
      <c r="E88" s="17" t="n">
        <v>19.98999977</v>
      </c>
      <c r="F88" s="14" t="n">
        <v>887</v>
      </c>
      <c r="G88" s="17" t="n">
        <v>17731.13</v>
      </c>
      <c r="H88" s="17" t="n">
        <v>1830.4</v>
      </c>
      <c r="I88" s="51" t="n">
        <v>0.0005</v>
      </c>
      <c r="J88" s="51" t="n">
        <v>0.9865</v>
      </c>
      <c r="K88" s="30" t="inlineStr">
        <is>
          <t>C</t>
        </is>
      </c>
      <c r="L88" s="52" t="n">
        <v>0.598</v>
      </c>
      <c r="M88" s="30" t="inlineStr">
        <is>
          <t>Y</t>
        </is>
      </c>
      <c r="N88" s="30" t="inlineStr">
        <is>
          <t>CY</t>
        </is>
      </c>
      <c r="O88" s="13" t="inlineStr">
        <is>
          <t>LOW</t>
        </is>
      </c>
      <c r="P88" s="13" t="inlineStr">
        <is>
          <t>Standard Reorder Tolerances</t>
        </is>
      </c>
    </row>
    <row r="89" ht="18" customHeight="1">
      <c r="A89" s="31" t="n">
        <v>306</v>
      </c>
      <c r="B89" s="18" t="inlineStr">
        <is>
          <t>Polar FT4 Heart Rate Monitor</t>
        </is>
      </c>
      <c r="C89" s="18" t="inlineStr">
        <is>
          <t>Kids' Golf Clubs</t>
        </is>
      </c>
      <c r="D89" s="18" t="inlineStr">
        <is>
          <t>Outdoors</t>
        </is>
      </c>
      <c r="E89" s="22" t="n">
        <v>89.98999786</v>
      </c>
      <c r="F89" s="19" t="n">
        <v>196</v>
      </c>
      <c r="G89" s="22" t="n">
        <v>17638.04</v>
      </c>
      <c r="H89" s="22" t="n">
        <v>3476.85</v>
      </c>
      <c r="I89" s="53" t="n">
        <v>0.0005</v>
      </c>
      <c r="J89" s="53" t="n">
        <v>0.987</v>
      </c>
      <c r="K89" s="31" t="inlineStr">
        <is>
          <t>C</t>
        </is>
      </c>
      <c r="L89" s="54" t="n">
        <v>0.739</v>
      </c>
      <c r="M89" s="31" t="inlineStr">
        <is>
          <t>Y</t>
        </is>
      </c>
      <c r="N89" s="31" t="inlineStr">
        <is>
          <t>CY</t>
        </is>
      </c>
      <c r="O89" s="18" t="inlineStr">
        <is>
          <t>LOW</t>
        </is>
      </c>
      <c r="P89" s="18" t="inlineStr">
        <is>
          <t>Standard Reorder Tolerances</t>
        </is>
      </c>
    </row>
    <row r="90" ht="18" customHeight="1">
      <c r="A90" s="30" t="n">
        <v>777</v>
      </c>
      <c r="B90" s="13" t="inlineStr">
        <is>
          <t>Bag Boy M330 Push Cart</t>
        </is>
      </c>
      <c r="C90" s="13" t="inlineStr">
        <is>
          <t>Golf Gloves</t>
        </is>
      </c>
      <c r="D90" s="13" t="inlineStr">
        <is>
          <t>Outdoors</t>
        </is>
      </c>
      <c r="E90" s="17" t="n">
        <v>79.98999786</v>
      </c>
      <c r="F90" s="14" t="n">
        <v>208</v>
      </c>
      <c r="G90" s="17" t="n">
        <v>16637.92</v>
      </c>
      <c r="H90" s="17" t="n">
        <v>2969.11</v>
      </c>
      <c r="I90" s="51" t="n">
        <v>0.0005</v>
      </c>
      <c r="J90" s="51" t="n">
        <v>0.9873999999999999</v>
      </c>
      <c r="K90" s="30" t="inlineStr">
        <is>
          <t>C</t>
        </is>
      </c>
      <c r="L90" s="52" t="n">
        <v>0.589</v>
      </c>
      <c r="M90" s="30" t="inlineStr">
        <is>
          <t>Y</t>
        </is>
      </c>
      <c r="N90" s="30" t="inlineStr">
        <is>
          <t>CY</t>
        </is>
      </c>
      <c r="O90" s="13" t="inlineStr">
        <is>
          <t>LOW</t>
        </is>
      </c>
      <c r="P90" s="13" t="inlineStr">
        <is>
          <t>Standard Reorder Tolerances</t>
        </is>
      </c>
    </row>
    <row r="91" ht="18" customHeight="1">
      <c r="A91" s="31" t="n">
        <v>810</v>
      </c>
      <c r="B91" s="18" t="inlineStr">
        <is>
          <t>Glove It Women's Mod Oval Golf Glove</t>
        </is>
      </c>
      <c r="C91" s="18" t="inlineStr">
        <is>
          <t>Golf Balls</t>
        </is>
      </c>
      <c r="D91" s="18" t="inlineStr">
        <is>
          <t>Outdoors</t>
        </is>
      </c>
      <c r="E91" s="22" t="n">
        <v>19.98999977</v>
      </c>
      <c r="F91" s="19" t="n">
        <v>802</v>
      </c>
      <c r="G91" s="22" t="n">
        <v>16031.98</v>
      </c>
      <c r="H91" s="22" t="n">
        <v>2406.57</v>
      </c>
      <c r="I91" s="53" t="n">
        <v>0.0004</v>
      </c>
      <c r="J91" s="53" t="n">
        <v>0.9879000000000001</v>
      </c>
      <c r="K91" s="31" t="inlineStr">
        <is>
          <t>C</t>
        </is>
      </c>
      <c r="L91" s="54" t="n">
        <v>0.521</v>
      </c>
      <c r="M91" s="31" t="inlineStr">
        <is>
          <t>Y</t>
        </is>
      </c>
      <c r="N91" s="31" t="inlineStr">
        <is>
          <t>CY</t>
        </is>
      </c>
      <c r="O91" s="18" t="inlineStr">
        <is>
          <t>LOW</t>
        </is>
      </c>
      <c r="P91" s="18" t="inlineStr">
        <is>
          <t>Standard Reorder Tolerances</t>
        </is>
      </c>
    </row>
    <row r="92" ht="18" customHeight="1">
      <c r="A92" s="30" t="n">
        <v>797</v>
      </c>
      <c r="B92" s="13" t="inlineStr">
        <is>
          <t>Hirzl Women's Soffft Flex Golf Glove</t>
        </is>
      </c>
      <c r="C92" s="13" t="inlineStr">
        <is>
          <t>Golf Balls</t>
        </is>
      </c>
      <c r="D92" s="13" t="inlineStr">
        <is>
          <t>Outdoors</t>
        </is>
      </c>
      <c r="E92" s="17" t="n">
        <v>17.98999977</v>
      </c>
      <c r="F92" s="14" t="n">
        <v>889</v>
      </c>
      <c r="G92" s="17" t="n">
        <v>15993.11</v>
      </c>
      <c r="H92" s="17" t="n">
        <v>1444.25</v>
      </c>
      <c r="I92" s="51" t="n">
        <v>0.0004</v>
      </c>
      <c r="J92" s="51" t="n">
        <v>0.9883</v>
      </c>
      <c r="K92" s="30" t="inlineStr">
        <is>
          <t>C</t>
        </is>
      </c>
      <c r="L92" s="52" t="n">
        <v>0.581</v>
      </c>
      <c r="M92" s="30" t="inlineStr">
        <is>
          <t>Y</t>
        </is>
      </c>
      <c r="N92" s="30" t="inlineStr">
        <is>
          <t>CY</t>
        </is>
      </c>
      <c r="O92" s="13" t="inlineStr">
        <is>
          <t>LOW</t>
        </is>
      </c>
      <c r="P92" s="13" t="inlineStr">
        <is>
          <t>Standard Reorder Tolerances</t>
        </is>
      </c>
    </row>
    <row r="93" ht="18" customHeight="1">
      <c r="A93" s="31" t="n">
        <v>730</v>
      </c>
      <c r="B93" s="18" t="inlineStr">
        <is>
          <t>LIJA Women's Argyle Golf Polo</t>
        </is>
      </c>
      <c r="C93" s="18" t="inlineStr">
        <is>
          <t>Golf Shoes</t>
        </is>
      </c>
      <c r="D93" s="18" t="inlineStr">
        <is>
          <t>Outdoors</t>
        </is>
      </c>
      <c r="E93" s="22" t="n">
        <v>80</v>
      </c>
      <c r="F93" s="19" t="n">
        <v>195</v>
      </c>
      <c r="G93" s="22" t="n">
        <v>15600</v>
      </c>
      <c r="H93" s="22" t="n">
        <v>1512.43</v>
      </c>
      <c r="I93" s="53" t="n">
        <v>0.0004</v>
      </c>
      <c r="J93" s="53" t="n">
        <v>0.9887</v>
      </c>
      <c r="K93" s="31" t="inlineStr">
        <is>
          <t>C</t>
        </is>
      </c>
      <c r="L93" s="54" t="n">
        <v>0.45</v>
      </c>
      <c r="M93" s="31" t="inlineStr">
        <is>
          <t>X</t>
        </is>
      </c>
      <c r="N93" s="31" t="inlineStr">
        <is>
          <t>CX</t>
        </is>
      </c>
      <c r="O93" s="18" t="inlineStr">
        <is>
          <t>LOW</t>
        </is>
      </c>
      <c r="P93" s="18" t="inlineStr">
        <is>
          <t>Bulk Order / High MOQ</t>
        </is>
      </c>
    </row>
    <row r="94" ht="18" customHeight="1">
      <c r="A94" s="30" t="n">
        <v>926</v>
      </c>
      <c r="B94" s="13" t="inlineStr">
        <is>
          <t>Glove It Imperial Golf Towel</t>
        </is>
      </c>
      <c r="C94" s="13" t="inlineStr">
        <is>
          <t>Trade-In</t>
        </is>
      </c>
      <c r="D94" s="13" t="inlineStr">
        <is>
          <t>Outdoors</t>
        </is>
      </c>
      <c r="E94" s="17" t="n">
        <v>15.98999977</v>
      </c>
      <c r="F94" s="14" t="n">
        <v>930</v>
      </c>
      <c r="G94" s="17" t="n">
        <v>14870.7</v>
      </c>
      <c r="H94" s="17" t="n">
        <v>1662.02</v>
      </c>
      <c r="I94" s="51" t="n">
        <v>0.0004</v>
      </c>
      <c r="J94" s="51" t="n">
        <v>0.9891</v>
      </c>
      <c r="K94" s="30" t="inlineStr">
        <is>
          <t>C</t>
        </is>
      </c>
      <c r="L94" s="52" t="n">
        <v>0.663</v>
      </c>
      <c r="M94" s="30" t="inlineStr">
        <is>
          <t>Y</t>
        </is>
      </c>
      <c r="N94" s="30" t="inlineStr">
        <is>
          <t>CY</t>
        </is>
      </c>
      <c r="O94" s="13" t="inlineStr">
        <is>
          <t>LOW</t>
        </is>
      </c>
      <c r="P94" s="13" t="inlineStr">
        <is>
          <t>Standard Reorder Tolerances</t>
        </is>
      </c>
    </row>
    <row r="95" ht="18" customHeight="1">
      <c r="A95" s="31" t="n">
        <v>924</v>
      </c>
      <c r="B95" s="18" t="inlineStr">
        <is>
          <t>Glove It Urban Brick Golf Towel</t>
        </is>
      </c>
      <c r="C95" s="18" t="inlineStr">
        <is>
          <t>Trade-In</t>
        </is>
      </c>
      <c r="D95" s="18" t="inlineStr">
        <is>
          <t>Outdoors</t>
        </is>
      </c>
      <c r="E95" s="22" t="n">
        <v>15.98999977</v>
      </c>
      <c r="F95" s="19" t="n">
        <v>885</v>
      </c>
      <c r="G95" s="22" t="n">
        <v>14151.15</v>
      </c>
      <c r="H95" s="22" t="n">
        <v>1563.2</v>
      </c>
      <c r="I95" s="53" t="n">
        <v>0.0004</v>
      </c>
      <c r="J95" s="53" t="n">
        <v>0.9895</v>
      </c>
      <c r="K95" s="31" t="inlineStr">
        <is>
          <t>C</t>
        </is>
      </c>
      <c r="L95" s="54" t="n">
        <v>0.601</v>
      </c>
      <c r="M95" s="31" t="inlineStr">
        <is>
          <t>Y</t>
        </is>
      </c>
      <c r="N95" s="31" t="inlineStr">
        <is>
          <t>CY</t>
        </is>
      </c>
      <c r="O95" s="18" t="inlineStr">
        <is>
          <t>LOW</t>
        </is>
      </c>
      <c r="P95" s="18" t="inlineStr">
        <is>
          <t>Standard Reorder Tolerances</t>
        </is>
      </c>
    </row>
    <row r="96" ht="18" customHeight="1">
      <c r="A96" s="30" t="n">
        <v>303</v>
      </c>
      <c r="B96" s="13" t="inlineStr">
        <is>
          <t>Garmin Forerunner 910XT GPS Watch</t>
        </is>
      </c>
      <c r="C96" s="13" t="inlineStr">
        <is>
          <t>Kids' Golf Clubs</t>
        </is>
      </c>
      <c r="D96" s="13" t="inlineStr">
        <is>
          <t>Outdoors</t>
        </is>
      </c>
      <c r="E96" s="17" t="n">
        <v>399.9899902</v>
      </c>
      <c r="F96" s="14" t="n">
        <v>35</v>
      </c>
      <c r="G96" s="17" t="n">
        <v>13999.65</v>
      </c>
      <c r="H96" s="17" t="n">
        <v>391.13</v>
      </c>
      <c r="I96" s="51" t="n">
        <v>0.0004</v>
      </c>
      <c r="J96" s="51" t="n">
        <v>0.9899</v>
      </c>
      <c r="K96" s="30" t="inlineStr">
        <is>
          <t>C</t>
        </is>
      </c>
      <c r="L96" s="52" t="n">
        <v>9.99</v>
      </c>
      <c r="M96" s="30" t="inlineStr">
        <is>
          <t>Z</t>
        </is>
      </c>
      <c r="N96" s="55" t="inlineStr">
        <is>
          <t>CZ</t>
        </is>
      </c>
      <c r="O96" s="13" t="inlineStr">
        <is>
          <t>PURGE / MONITOR</t>
        </is>
      </c>
      <c r="P96" s="13" t="inlineStr">
        <is>
          <t>Obsolescence Review / Rationalize</t>
        </is>
      </c>
    </row>
    <row r="97" ht="18" customHeight="1">
      <c r="A97" s="31" t="n">
        <v>1059</v>
      </c>
      <c r="B97" s="18" t="inlineStr">
        <is>
          <t>Pelican Maverick 100X Kayak</t>
        </is>
      </c>
      <c r="C97" s="18" t="inlineStr">
        <is>
          <t>Water Sports</t>
        </is>
      </c>
      <c r="D97" s="18" t="inlineStr">
        <is>
          <t>Fan Shop</t>
        </is>
      </c>
      <c r="E97" s="22" t="n">
        <v>349.9899902</v>
      </c>
      <c r="F97" s="19" t="n">
        <v>40</v>
      </c>
      <c r="G97" s="22" t="n">
        <v>13999.6</v>
      </c>
      <c r="H97" s="22" t="n">
        <v>1070.59</v>
      </c>
      <c r="I97" s="53" t="n">
        <v>0.0004</v>
      </c>
      <c r="J97" s="53" t="n">
        <v>0.9903</v>
      </c>
      <c r="K97" s="31" t="inlineStr">
        <is>
          <t>C</t>
        </is>
      </c>
      <c r="L97" s="54" t="n">
        <v>9.99</v>
      </c>
      <c r="M97" s="31" t="inlineStr">
        <is>
          <t>Z</t>
        </is>
      </c>
      <c r="N97" s="55" t="inlineStr">
        <is>
          <t>CZ</t>
        </is>
      </c>
      <c r="O97" s="18" t="inlineStr">
        <is>
          <t>PURGE / MONITOR</t>
        </is>
      </c>
      <c r="P97" s="18" t="inlineStr">
        <is>
          <t>Obsolescence Review / Rationalize</t>
        </is>
      </c>
    </row>
    <row r="98" ht="18" customHeight="1">
      <c r="A98" s="30" t="n">
        <v>671</v>
      </c>
      <c r="B98" s="13" t="inlineStr">
        <is>
          <t>Cleveland Golf Collegiate My Custom Wedge 588</t>
        </is>
      </c>
      <c r="C98" s="13" t="inlineStr">
        <is>
          <t>Women's Golf Clubs</t>
        </is>
      </c>
      <c r="D98" s="13" t="inlineStr">
        <is>
          <t>Outdoors</t>
        </is>
      </c>
      <c r="E98" s="17" t="n">
        <v>209.9900055</v>
      </c>
      <c r="F98" s="14" t="n">
        <v>65</v>
      </c>
      <c r="G98" s="17" t="n">
        <v>13649.35</v>
      </c>
      <c r="H98" s="17" t="n">
        <v>955.1</v>
      </c>
      <c r="I98" s="51" t="n">
        <v>0.0004</v>
      </c>
      <c r="J98" s="51" t="n">
        <v>0.9906</v>
      </c>
      <c r="K98" s="30" t="inlineStr">
        <is>
          <t>C</t>
        </is>
      </c>
      <c r="L98" s="52" t="n">
        <v>0.372</v>
      </c>
      <c r="M98" s="30" t="inlineStr">
        <is>
          <t>X</t>
        </is>
      </c>
      <c r="N98" s="30" t="inlineStr">
        <is>
          <t>CX</t>
        </is>
      </c>
      <c r="O98" s="13" t="inlineStr">
        <is>
          <t>LOW</t>
        </is>
      </c>
      <c r="P98" s="13" t="inlineStr">
        <is>
          <t>Bulk Order / High MOQ</t>
        </is>
      </c>
    </row>
    <row r="99" ht="18" customHeight="1">
      <c r="A99" s="31" t="n">
        <v>773</v>
      </c>
      <c r="B99" s="18" t="inlineStr">
        <is>
          <t>Titleist Small Wheeled Travel Cover</t>
        </is>
      </c>
      <c r="C99" s="18" t="inlineStr">
        <is>
          <t>Golf Gloves</t>
        </is>
      </c>
      <c r="D99" s="18" t="inlineStr">
        <is>
          <t>Outdoors</t>
        </is>
      </c>
      <c r="E99" s="22" t="n">
        <v>249.9900055</v>
      </c>
      <c r="F99" s="19" t="n">
        <v>54</v>
      </c>
      <c r="G99" s="22" t="n">
        <v>13499.46</v>
      </c>
      <c r="H99" s="22" t="n">
        <v>1011.65</v>
      </c>
      <c r="I99" s="53" t="n">
        <v>0.0004</v>
      </c>
      <c r="J99" s="53" t="n">
        <v>0.991</v>
      </c>
      <c r="K99" s="31" t="inlineStr">
        <is>
          <t>C</t>
        </is>
      </c>
      <c r="L99" s="54" t="n">
        <v>0.784</v>
      </c>
      <c r="M99" s="31" t="inlineStr">
        <is>
          <t>Y</t>
        </is>
      </c>
      <c r="N99" s="31" t="inlineStr">
        <is>
          <t>CY</t>
        </is>
      </c>
      <c r="O99" s="18" t="inlineStr">
        <is>
          <t>LOW</t>
        </is>
      </c>
      <c r="P99" s="18" t="inlineStr">
        <is>
          <t>Standard Reorder Tolerances</t>
        </is>
      </c>
    </row>
    <row r="100" ht="18" customHeight="1">
      <c r="A100" s="30" t="n">
        <v>305</v>
      </c>
      <c r="B100" s="13" t="inlineStr">
        <is>
          <t>Mio ALPHA Heart Rate Monitor/Sport Watch</t>
        </is>
      </c>
      <c r="C100" s="13" t="inlineStr">
        <is>
          <t>Kids' Golf Clubs</t>
        </is>
      </c>
      <c r="D100" s="13" t="inlineStr">
        <is>
          <t>Outdoors</t>
        </is>
      </c>
      <c r="E100" s="17" t="n">
        <v>199</v>
      </c>
      <c r="F100" s="14" t="n">
        <v>67</v>
      </c>
      <c r="G100" s="17" t="n">
        <v>13333</v>
      </c>
      <c r="H100" s="17" t="n">
        <v>1241.67</v>
      </c>
      <c r="I100" s="51" t="n">
        <v>0.0004</v>
      </c>
      <c r="J100" s="51" t="n">
        <v>0.9914000000000001</v>
      </c>
      <c r="K100" s="30" t="inlineStr">
        <is>
          <t>C</t>
        </is>
      </c>
      <c r="L100" s="52" t="n">
        <v>0.506</v>
      </c>
      <c r="M100" s="30" t="inlineStr">
        <is>
          <t>Y</t>
        </is>
      </c>
      <c r="N100" s="30" t="inlineStr">
        <is>
          <t>CY</t>
        </is>
      </c>
      <c r="O100" s="13" t="inlineStr">
        <is>
          <t>LOW</t>
        </is>
      </c>
      <c r="P100" s="13" t="inlineStr">
        <is>
          <t>Standard Reorder Tolerances</t>
        </is>
      </c>
    </row>
    <row r="101" ht="18" customHeight="1">
      <c r="A101" s="31" t="n">
        <v>793</v>
      </c>
      <c r="B101" s="18" t="inlineStr">
        <is>
          <t>Hirzl Women's Hybrid Golf Glove</t>
        </is>
      </c>
      <c r="C101" s="18" t="inlineStr">
        <is>
          <t>Golf Balls</t>
        </is>
      </c>
      <c r="D101" s="18" t="inlineStr">
        <is>
          <t>Outdoors</t>
        </is>
      </c>
      <c r="E101" s="22" t="n">
        <v>14.98999977</v>
      </c>
      <c r="F101" s="19" t="n">
        <v>888</v>
      </c>
      <c r="G101" s="22" t="n">
        <v>13311.12</v>
      </c>
      <c r="H101" s="22" t="n">
        <v>1193.24</v>
      </c>
      <c r="I101" s="53" t="n">
        <v>0.0004</v>
      </c>
      <c r="J101" s="53" t="n">
        <v>0.9917</v>
      </c>
      <c r="K101" s="31" t="inlineStr">
        <is>
          <t>C</t>
        </is>
      </c>
      <c r="L101" s="54" t="n">
        <v>0.607</v>
      </c>
      <c r="M101" s="31" t="inlineStr">
        <is>
          <t>Y</t>
        </is>
      </c>
      <c r="N101" s="31" t="inlineStr">
        <is>
          <t>CY</t>
        </is>
      </c>
      <c r="O101" s="18" t="inlineStr">
        <is>
          <t>LOW</t>
        </is>
      </c>
      <c r="P101" s="18" t="inlineStr">
        <is>
          <t>Standard Reorder Tolerances</t>
        </is>
      </c>
    </row>
    <row r="102" ht="18" customHeight="1">
      <c r="A102" s="30" t="n">
        <v>792</v>
      </c>
      <c r="B102" s="13" t="inlineStr">
        <is>
          <t>Hirzl Men's Hybrid Golf Glove</t>
        </is>
      </c>
      <c r="C102" s="13" t="inlineStr">
        <is>
          <t>Golf Balls</t>
        </is>
      </c>
      <c r="D102" s="13" t="inlineStr">
        <is>
          <t>Outdoors</t>
        </is>
      </c>
      <c r="E102" s="17" t="n">
        <v>14.98999977</v>
      </c>
      <c r="F102" s="14" t="n">
        <v>864</v>
      </c>
      <c r="G102" s="17" t="n">
        <v>12951.36</v>
      </c>
      <c r="H102" s="17" t="n">
        <v>1175.66</v>
      </c>
      <c r="I102" s="51" t="n">
        <v>0.0004</v>
      </c>
      <c r="J102" s="51" t="n">
        <v>0.9921</v>
      </c>
      <c r="K102" s="30" t="inlineStr">
        <is>
          <t>C</t>
        </is>
      </c>
      <c r="L102" s="52" t="n">
        <v>0.519</v>
      </c>
      <c r="M102" s="30" t="inlineStr">
        <is>
          <t>Y</t>
        </is>
      </c>
      <c r="N102" s="30" t="inlineStr">
        <is>
          <t>CY</t>
        </is>
      </c>
      <c r="O102" s="13" t="inlineStr">
        <is>
          <t>LOW</t>
        </is>
      </c>
      <c r="P102" s="13" t="inlineStr">
        <is>
          <t>Standard Reorder Tolerances</t>
        </is>
      </c>
    </row>
    <row r="103" ht="18" customHeight="1">
      <c r="A103" s="31" t="n">
        <v>203</v>
      </c>
      <c r="B103" s="18" t="inlineStr">
        <is>
          <t>GoPro HERO3+ Black Edition Camera</t>
        </is>
      </c>
      <c r="C103" s="18" t="inlineStr">
        <is>
          <t>Strength Training</t>
        </is>
      </c>
      <c r="D103" s="18" t="inlineStr">
        <is>
          <t>Footwear</t>
        </is>
      </c>
      <c r="E103" s="22" t="n">
        <v>399.9899902</v>
      </c>
      <c r="F103" s="19" t="n">
        <v>32</v>
      </c>
      <c r="G103" s="22" t="n">
        <v>12799.68</v>
      </c>
      <c r="H103" s="22" t="n">
        <v>245.63</v>
      </c>
      <c r="I103" s="53" t="n">
        <v>0.0003</v>
      </c>
      <c r="J103" s="53" t="n">
        <v>0.9923999999999999</v>
      </c>
      <c r="K103" s="31" t="inlineStr">
        <is>
          <t>C</t>
        </is>
      </c>
      <c r="L103" s="54" t="n">
        <v>9.99</v>
      </c>
      <c r="M103" s="31" t="inlineStr">
        <is>
          <t>Z</t>
        </is>
      </c>
      <c r="N103" s="55" t="inlineStr">
        <is>
          <t>CZ</t>
        </is>
      </c>
      <c r="O103" s="18" t="inlineStr">
        <is>
          <t>PURGE / MONITOR</t>
        </is>
      </c>
      <c r="P103" s="18" t="inlineStr">
        <is>
          <t>Obsolescence Review / Rationalize</t>
        </is>
      </c>
    </row>
    <row r="104" ht="18" customHeight="1">
      <c r="A104" s="30" t="n">
        <v>625</v>
      </c>
      <c r="B104" s="13" t="inlineStr">
        <is>
          <t>Nike Men's Kobe IX Elite Low Basketball Shoe</t>
        </is>
      </c>
      <c r="C104" s="13" t="inlineStr">
        <is>
          <t>Shop By Sport</t>
        </is>
      </c>
      <c r="D104" s="13" t="inlineStr">
        <is>
          <t>Golf</t>
        </is>
      </c>
      <c r="E104" s="17" t="n">
        <v>199.9900055</v>
      </c>
      <c r="F104" s="14" t="n">
        <v>63</v>
      </c>
      <c r="G104" s="17" t="n">
        <v>12599.37</v>
      </c>
      <c r="H104" s="17" t="n">
        <v>1080.65</v>
      </c>
      <c r="I104" s="51" t="n">
        <v>0.0003</v>
      </c>
      <c r="J104" s="51" t="n">
        <v>0.9928</v>
      </c>
      <c r="K104" s="30" t="inlineStr">
        <is>
          <t>C</t>
        </is>
      </c>
      <c r="L104" s="52" t="n">
        <v>0.632</v>
      </c>
      <c r="M104" s="30" t="inlineStr">
        <is>
          <t>Y</t>
        </is>
      </c>
      <c r="N104" s="30" t="inlineStr">
        <is>
          <t>CY</t>
        </is>
      </c>
      <c r="O104" s="13" t="inlineStr">
        <is>
          <t>LOW</t>
        </is>
      </c>
      <c r="P104" s="13" t="inlineStr">
        <is>
          <t>Standard Reorder Tolerances</t>
        </is>
      </c>
    </row>
    <row r="105" ht="18" customHeight="1">
      <c r="A105" s="31" t="n">
        <v>1346</v>
      </c>
      <c r="B105" s="18" t="inlineStr">
        <is>
          <t xml:space="preserve">Sports Books </t>
        </is>
      </c>
      <c r="C105" s="18" t="inlineStr">
        <is>
          <t xml:space="preserve">Books </t>
        </is>
      </c>
      <c r="D105" s="18" t="inlineStr">
        <is>
          <t>Book Shop</t>
        </is>
      </c>
      <c r="E105" s="22" t="n">
        <v>31.07999992</v>
      </c>
      <c r="F105" s="19" t="n">
        <v>405</v>
      </c>
      <c r="G105" s="22" t="n">
        <v>12587.4</v>
      </c>
      <c r="H105" s="22" t="n">
        <v>883.01</v>
      </c>
      <c r="I105" s="53" t="n">
        <v>0.0003</v>
      </c>
      <c r="J105" s="53" t="n">
        <v>0.9931</v>
      </c>
      <c r="K105" s="31" t="inlineStr">
        <is>
          <t>C</t>
        </is>
      </c>
      <c r="L105" s="54" t="n">
        <v>9.99</v>
      </c>
      <c r="M105" s="31" t="inlineStr">
        <is>
          <t>Z</t>
        </is>
      </c>
      <c r="N105" s="55" t="inlineStr">
        <is>
          <t>CZ</t>
        </is>
      </c>
      <c r="O105" s="18" t="inlineStr">
        <is>
          <t>PURGE / MONITOR</t>
        </is>
      </c>
      <c r="P105" s="18" t="inlineStr">
        <is>
          <t>Obsolescence Review / Rationalize</t>
        </is>
      </c>
    </row>
    <row r="106" ht="18" customHeight="1">
      <c r="A106" s="30" t="n">
        <v>1347</v>
      </c>
      <c r="B106" s="13" t="inlineStr">
        <is>
          <t>Baby sweater</t>
        </is>
      </c>
      <c r="C106" s="13" t="inlineStr">
        <is>
          <t xml:space="preserve">Baby </t>
        </is>
      </c>
      <c r="D106" s="13" t="inlineStr">
        <is>
          <t>Apparel</t>
        </is>
      </c>
      <c r="E106" s="17" t="n">
        <v>59.08000183</v>
      </c>
      <c r="F106" s="14" t="n">
        <v>207</v>
      </c>
      <c r="G106" s="17" t="n">
        <v>12229.56</v>
      </c>
      <c r="H106" s="17" t="n">
        <v>1525.03</v>
      </c>
      <c r="I106" s="51" t="n">
        <v>0.0003</v>
      </c>
      <c r="J106" s="51" t="n">
        <v>0.9934000000000001</v>
      </c>
      <c r="K106" s="30" t="inlineStr">
        <is>
          <t>C</t>
        </is>
      </c>
      <c r="L106" s="52" t="n">
        <v>9.99</v>
      </c>
      <c r="M106" s="30" t="inlineStr">
        <is>
          <t>Z</t>
        </is>
      </c>
      <c r="N106" s="55" t="inlineStr">
        <is>
          <t>CZ</t>
        </is>
      </c>
      <c r="O106" s="13" t="inlineStr">
        <is>
          <t>PURGE / MONITOR</t>
        </is>
      </c>
      <c r="P106" s="13" t="inlineStr">
        <is>
          <t>Obsolescence Review / Rationalize</t>
        </is>
      </c>
    </row>
    <row r="107" ht="18" customHeight="1">
      <c r="A107" s="31" t="n">
        <v>216</v>
      </c>
      <c r="B107" s="18" t="inlineStr">
        <is>
          <t>Yakima DoubleDown Ace Hitch Mount 4-Bike Rack</t>
        </is>
      </c>
      <c r="C107" s="18" t="inlineStr">
        <is>
          <t>Strength Training</t>
        </is>
      </c>
      <c r="D107" s="18" t="inlineStr">
        <is>
          <t>Footwear</t>
        </is>
      </c>
      <c r="E107" s="22" t="n">
        <v>189</v>
      </c>
      <c r="F107" s="19" t="n">
        <v>64</v>
      </c>
      <c r="G107" s="22" t="n">
        <v>12096</v>
      </c>
      <c r="H107" s="22" t="n">
        <v>1051.8</v>
      </c>
      <c r="I107" s="53" t="n">
        <v>0.0003</v>
      </c>
      <c r="J107" s="53" t="n">
        <v>0.9937999999999999</v>
      </c>
      <c r="K107" s="31" t="inlineStr">
        <is>
          <t>C</t>
        </is>
      </c>
      <c r="L107" s="54" t="n">
        <v>0.466</v>
      </c>
      <c r="M107" s="31" t="inlineStr">
        <is>
          <t>X</t>
        </is>
      </c>
      <c r="N107" s="31" t="inlineStr">
        <is>
          <t>CX</t>
        </is>
      </c>
      <c r="O107" s="18" t="inlineStr">
        <is>
          <t>LOW</t>
        </is>
      </c>
      <c r="P107" s="18" t="inlineStr">
        <is>
          <t>Bulk Order / High MOQ</t>
        </is>
      </c>
    </row>
    <row r="108" ht="18" customHeight="1">
      <c r="A108" s="30" t="n">
        <v>858</v>
      </c>
      <c r="B108" s="13" t="inlineStr">
        <is>
          <t>GolfBuddy VT3 GPS Watch</t>
        </is>
      </c>
      <c r="C108" s="13" t="inlineStr">
        <is>
          <t>Kids' Golf Clubs</t>
        </is>
      </c>
      <c r="D108" s="13" t="inlineStr">
        <is>
          <t>Outdoors</t>
        </is>
      </c>
      <c r="E108" s="17" t="n">
        <v>199.9900055</v>
      </c>
      <c r="F108" s="14" t="n">
        <v>59</v>
      </c>
      <c r="G108" s="17" t="n">
        <v>11799.41</v>
      </c>
      <c r="H108" s="17" t="n">
        <v>569.02</v>
      </c>
      <c r="I108" s="51" t="n">
        <v>0.0003</v>
      </c>
      <c r="J108" s="51" t="n">
        <v>0.9941</v>
      </c>
      <c r="K108" s="30" t="inlineStr">
        <is>
          <t>C</t>
        </is>
      </c>
      <c r="L108" s="52" t="n">
        <v>0.486</v>
      </c>
      <c r="M108" s="30" t="inlineStr">
        <is>
          <t>X</t>
        </is>
      </c>
      <c r="N108" s="30" t="inlineStr">
        <is>
          <t>CX</t>
        </is>
      </c>
      <c r="O108" s="13" t="inlineStr">
        <is>
          <t>LOW</t>
        </is>
      </c>
      <c r="P108" s="13" t="inlineStr">
        <is>
          <t>Bulk Order / High MOQ</t>
        </is>
      </c>
    </row>
    <row r="109" ht="18" customHeight="1">
      <c r="A109" s="31" t="n">
        <v>786</v>
      </c>
      <c r="B109" s="18" t="inlineStr">
        <is>
          <t>TaylorMade 2014 Purelite Stand Bag</t>
        </is>
      </c>
      <c r="C109" s="18" t="inlineStr">
        <is>
          <t>Golf Gloves</t>
        </is>
      </c>
      <c r="D109" s="18" t="inlineStr">
        <is>
          <t>Outdoors</t>
        </is>
      </c>
      <c r="E109" s="22" t="n">
        <v>179.9900055</v>
      </c>
      <c r="F109" s="19" t="n">
        <v>65</v>
      </c>
      <c r="G109" s="22" t="n">
        <v>11699.35</v>
      </c>
      <c r="H109" s="22" t="n">
        <v>730.1799999999999</v>
      </c>
      <c r="I109" s="53" t="n">
        <v>0.0003</v>
      </c>
      <c r="J109" s="53" t="n">
        <v>0.9944</v>
      </c>
      <c r="K109" s="31" t="inlineStr">
        <is>
          <t>C</t>
        </is>
      </c>
      <c r="L109" s="54" t="n">
        <v>0.488</v>
      </c>
      <c r="M109" s="31" t="inlineStr">
        <is>
          <t>X</t>
        </is>
      </c>
      <c r="N109" s="31" t="inlineStr">
        <is>
          <t>CX</t>
        </is>
      </c>
      <c r="O109" s="18" t="inlineStr">
        <is>
          <t>LOW</t>
        </is>
      </c>
      <c r="P109" s="18" t="inlineStr">
        <is>
          <t>Bulk Order / High MOQ</t>
        </is>
      </c>
    </row>
    <row r="110" ht="18" customHeight="1">
      <c r="A110" s="30" t="n">
        <v>691</v>
      </c>
      <c r="B110" s="13" t="inlineStr">
        <is>
          <t>MDGolf Pittsburgh Penguins Putter</t>
        </is>
      </c>
      <c r="C110" s="13" t="inlineStr">
        <is>
          <t>Women's Golf Clubs</t>
        </is>
      </c>
      <c r="D110" s="13" t="inlineStr">
        <is>
          <t>Outdoors</t>
        </is>
      </c>
      <c r="E110" s="17" t="n">
        <v>79.98999786</v>
      </c>
      <c r="F110" s="14" t="n">
        <v>145</v>
      </c>
      <c r="G110" s="17" t="n">
        <v>11598.55</v>
      </c>
      <c r="H110" s="17" t="n">
        <v>1533.14</v>
      </c>
      <c r="I110" s="51" t="n">
        <v>0.0003</v>
      </c>
      <c r="J110" s="51" t="n">
        <v>0.9947</v>
      </c>
      <c r="K110" s="30" t="inlineStr">
        <is>
          <t>C</t>
        </is>
      </c>
      <c r="L110" s="52" t="n">
        <v>0.602</v>
      </c>
      <c r="M110" s="30" t="inlineStr">
        <is>
          <t>Y</t>
        </is>
      </c>
      <c r="N110" s="30" t="inlineStr">
        <is>
          <t>CY</t>
        </is>
      </c>
      <c r="O110" s="13" t="inlineStr">
        <is>
          <t>LOW</t>
        </is>
      </c>
      <c r="P110" s="13" t="inlineStr">
        <is>
          <t>Standard Reorder Tolerances</t>
        </is>
      </c>
    </row>
    <row r="111" ht="18" customHeight="1">
      <c r="A111" s="31" t="n">
        <v>845</v>
      </c>
      <c r="B111" s="18" t="inlineStr">
        <is>
          <t>Garmin Approach S4 Golf GPS Watch</t>
        </is>
      </c>
      <c r="C111" s="18" t="inlineStr">
        <is>
          <t>Kids' Golf Clubs</t>
        </is>
      </c>
      <c r="D111" s="18" t="inlineStr">
        <is>
          <t>Outdoors</t>
        </is>
      </c>
      <c r="E111" s="22" t="n">
        <v>299.9899902</v>
      </c>
      <c r="F111" s="19" t="n">
        <v>36</v>
      </c>
      <c r="G111" s="22" t="n">
        <v>10799.64</v>
      </c>
      <c r="H111" s="22" t="n">
        <v>1208.9</v>
      </c>
      <c r="I111" s="53" t="n">
        <v>0.0003</v>
      </c>
      <c r="J111" s="53" t="n">
        <v>0.995</v>
      </c>
      <c r="K111" s="31" t="inlineStr">
        <is>
          <t>C</t>
        </is>
      </c>
      <c r="L111" s="54" t="n">
        <v>9.99</v>
      </c>
      <c r="M111" s="31" t="inlineStr">
        <is>
          <t>Z</t>
        </is>
      </c>
      <c r="N111" s="55" t="inlineStr">
        <is>
          <t>CZ</t>
        </is>
      </c>
      <c r="O111" s="18" t="inlineStr">
        <is>
          <t>PURGE / MONITOR</t>
        </is>
      </c>
      <c r="P111" s="18" t="inlineStr">
        <is>
          <t>Obsolescence Review / Rationalize</t>
        </is>
      </c>
    </row>
    <row r="112" ht="18" customHeight="1">
      <c r="A112" s="30" t="n">
        <v>364</v>
      </c>
      <c r="B112" s="13" t="inlineStr">
        <is>
          <t>Total Gym 1400</t>
        </is>
      </c>
      <c r="C112" s="13" t="inlineStr">
        <is>
          <t>Cleats</t>
        </is>
      </c>
      <c r="D112" s="13" t="inlineStr">
        <is>
          <t>Apparel</t>
        </is>
      </c>
      <c r="E112" s="17" t="n">
        <v>299.9899902</v>
      </c>
      <c r="F112" s="14" t="n">
        <v>36</v>
      </c>
      <c r="G112" s="17" t="n">
        <v>10799.64</v>
      </c>
      <c r="H112" s="17" t="n">
        <v>808.62</v>
      </c>
      <c r="I112" s="51" t="n">
        <v>0.0003</v>
      </c>
      <c r="J112" s="51" t="n">
        <v>0.9953</v>
      </c>
      <c r="K112" s="30" t="inlineStr">
        <is>
          <t>C</t>
        </is>
      </c>
      <c r="L112" s="52" t="n">
        <v>9.99</v>
      </c>
      <c r="M112" s="30" t="inlineStr">
        <is>
          <t>Z</t>
        </is>
      </c>
      <c r="N112" s="55" t="inlineStr">
        <is>
          <t>CZ</t>
        </is>
      </c>
      <c r="O112" s="13" t="inlineStr">
        <is>
          <t>PURGE / MONITOR</t>
        </is>
      </c>
      <c r="P112" s="13" t="inlineStr">
        <is>
          <t>Obsolescence Review / Rationalize</t>
        </is>
      </c>
    </row>
    <row r="113" ht="18" customHeight="1">
      <c r="A113" s="31" t="n">
        <v>35</v>
      </c>
      <c r="B113" s="18" t="inlineStr">
        <is>
          <t>adidas Brazuca 2014 Official Match Ball</t>
        </is>
      </c>
      <c r="C113" s="18" t="inlineStr">
        <is>
          <t>Baseball &amp; Softball</t>
        </is>
      </c>
      <c r="D113" s="18" t="inlineStr">
        <is>
          <t>Fitness</t>
        </is>
      </c>
      <c r="E113" s="22" t="n">
        <v>159.9900055</v>
      </c>
      <c r="F113" s="19" t="n">
        <v>65</v>
      </c>
      <c r="G113" s="22" t="n">
        <v>10399.35</v>
      </c>
      <c r="H113" s="22" t="n">
        <v>1642.73</v>
      </c>
      <c r="I113" s="53" t="n">
        <v>0.0003</v>
      </c>
      <c r="J113" s="53" t="n">
        <v>0.9956</v>
      </c>
      <c r="K113" s="31" t="inlineStr">
        <is>
          <t>C</t>
        </is>
      </c>
      <c r="L113" s="54" t="n">
        <v>0.444</v>
      </c>
      <c r="M113" s="31" t="inlineStr">
        <is>
          <t>X</t>
        </is>
      </c>
      <c r="N113" s="31" t="inlineStr">
        <is>
          <t>CX</t>
        </is>
      </c>
      <c r="O113" s="18" t="inlineStr">
        <is>
          <t>LOW</t>
        </is>
      </c>
      <c r="P113" s="18" t="inlineStr">
        <is>
          <t>Bulk Order / High MOQ</t>
        </is>
      </c>
    </row>
    <row r="114" ht="18" customHeight="1">
      <c r="A114" s="30" t="n">
        <v>743</v>
      </c>
      <c r="B114" s="13" t="inlineStr">
        <is>
          <t>Ogio Race Golf Shoes</t>
        </is>
      </c>
      <c r="C114" s="13" t="inlineStr">
        <is>
          <t>Golf Bags &amp; Carts</t>
        </is>
      </c>
      <c r="D114" s="13" t="inlineStr">
        <is>
          <t>Outdoors</t>
        </is>
      </c>
      <c r="E114" s="17" t="n">
        <v>169.9900055</v>
      </c>
      <c r="F114" s="14" t="n">
        <v>61</v>
      </c>
      <c r="G114" s="17" t="n">
        <v>10369.39</v>
      </c>
      <c r="H114" s="17" t="n">
        <v>1810.07</v>
      </c>
      <c r="I114" s="51" t="n">
        <v>0.0003</v>
      </c>
      <c r="J114" s="51" t="n">
        <v>0.9959</v>
      </c>
      <c r="K114" s="30" t="inlineStr">
        <is>
          <t>C</t>
        </is>
      </c>
      <c r="L114" s="52" t="n">
        <v>0.454</v>
      </c>
      <c r="M114" s="30" t="inlineStr">
        <is>
          <t>X</t>
        </is>
      </c>
      <c r="N114" s="30" t="inlineStr">
        <is>
          <t>CX</t>
        </is>
      </c>
      <c r="O114" s="13" t="inlineStr">
        <is>
          <t>LOW</t>
        </is>
      </c>
      <c r="P114" s="13" t="inlineStr">
        <is>
          <t>Bulk Order / High MOQ</t>
        </is>
      </c>
    </row>
    <row r="115" ht="18" customHeight="1">
      <c r="A115" s="31" t="n">
        <v>768</v>
      </c>
      <c r="B115" s="18" t="inlineStr">
        <is>
          <t>Titleist Club Glove Travel Cover</t>
        </is>
      </c>
      <c r="C115" s="18" t="inlineStr">
        <is>
          <t>Golf Gloves</t>
        </is>
      </c>
      <c r="D115" s="18" t="inlineStr">
        <is>
          <t>Outdoors</t>
        </is>
      </c>
      <c r="E115" s="22" t="n">
        <v>299.9899902</v>
      </c>
      <c r="F115" s="19" t="n">
        <v>34</v>
      </c>
      <c r="G115" s="22" t="n">
        <v>10199.66</v>
      </c>
      <c r="H115" s="22" t="n">
        <v>1312.27</v>
      </c>
      <c r="I115" s="53" t="n">
        <v>0.0003</v>
      </c>
      <c r="J115" s="53" t="n">
        <v>0.9962000000000001</v>
      </c>
      <c r="K115" s="31" t="inlineStr">
        <is>
          <t>C</t>
        </is>
      </c>
      <c r="L115" s="54" t="n">
        <v>9.99</v>
      </c>
      <c r="M115" s="31" t="inlineStr">
        <is>
          <t>Z</t>
        </is>
      </c>
      <c r="N115" s="55" t="inlineStr">
        <is>
          <t>CZ</t>
        </is>
      </c>
      <c r="O115" s="18" t="inlineStr">
        <is>
          <t>PURGE / MONITOR</t>
        </is>
      </c>
      <c r="P115" s="18" t="inlineStr">
        <is>
          <t>Obsolescence Review / Rationalize</t>
        </is>
      </c>
    </row>
    <row r="116" ht="18" customHeight="1">
      <c r="A116" s="30" t="n">
        <v>60</v>
      </c>
      <c r="B116" s="13" t="inlineStr">
        <is>
          <t>SOLE E25 Elliptical</t>
        </is>
      </c>
      <c r="C116" s="13" t="inlineStr">
        <is>
          <t>Basketball</t>
        </is>
      </c>
      <c r="D116" s="13" t="inlineStr">
        <is>
          <t>Fitness</t>
        </is>
      </c>
      <c r="E116" s="17" t="n">
        <v>999.9899902</v>
      </c>
      <c r="F116" s="14" t="n">
        <v>10</v>
      </c>
      <c r="G116" s="17" t="n">
        <v>9999.9</v>
      </c>
      <c r="H116" s="17" t="n">
        <v>-169.56</v>
      </c>
      <c r="I116" s="51" t="n">
        <v>0.0003</v>
      </c>
      <c r="J116" s="51" t="n">
        <v>0.9964</v>
      </c>
      <c r="K116" s="30" t="inlineStr">
        <is>
          <t>C</t>
        </is>
      </c>
      <c r="L116" s="52" t="n">
        <v>9.99</v>
      </c>
      <c r="M116" s="30" t="inlineStr">
        <is>
          <t>Z</t>
        </is>
      </c>
      <c r="N116" s="55" t="inlineStr">
        <is>
          <t>CZ</t>
        </is>
      </c>
      <c r="O116" s="13" t="inlineStr">
        <is>
          <t>PURGE / MONITOR</t>
        </is>
      </c>
      <c r="P116" s="13" t="inlineStr">
        <is>
          <t>Obsolescence Review / Rationalize</t>
        </is>
      </c>
    </row>
    <row r="117" ht="18" customHeight="1">
      <c r="A117" s="31" t="n">
        <v>647</v>
      </c>
      <c r="B117" s="18" t="inlineStr">
        <is>
          <t>Merrell Women's Siren Mid Waterproof Hiking B</t>
        </is>
      </c>
      <c r="C117" s="18" t="inlineStr">
        <is>
          <t>Men's Golf Clubs</t>
        </is>
      </c>
      <c r="D117" s="18" t="inlineStr">
        <is>
          <t>Outdoors</t>
        </is>
      </c>
      <c r="E117" s="22" t="n">
        <v>134.9900055</v>
      </c>
      <c r="F117" s="19" t="n">
        <v>70</v>
      </c>
      <c r="G117" s="22" t="n">
        <v>9449.299999999999</v>
      </c>
      <c r="H117" s="22" t="n">
        <v>1237.85</v>
      </c>
      <c r="I117" s="53" t="n">
        <v>0.0003</v>
      </c>
      <c r="J117" s="53" t="n">
        <v>0.9967</v>
      </c>
      <c r="K117" s="31" t="inlineStr">
        <is>
          <t>C</t>
        </is>
      </c>
      <c r="L117" s="54" t="n">
        <v>0.415</v>
      </c>
      <c r="M117" s="31" t="inlineStr">
        <is>
          <t>X</t>
        </is>
      </c>
      <c r="N117" s="31" t="inlineStr">
        <is>
          <t>CX</t>
        </is>
      </c>
      <c r="O117" s="18" t="inlineStr">
        <is>
          <t>LOW</t>
        </is>
      </c>
      <c r="P117" s="18" t="inlineStr">
        <is>
          <t>Bulk Order / High MOQ</t>
        </is>
      </c>
    </row>
    <row r="118" ht="18" customHeight="1">
      <c r="A118" s="30" t="n">
        <v>666</v>
      </c>
      <c r="B118" s="13" t="inlineStr">
        <is>
          <t>Merrell Men's All Out Flash Trail Running Sho</t>
        </is>
      </c>
      <c r="C118" s="13" t="inlineStr">
        <is>
          <t>Men's Golf Clubs</t>
        </is>
      </c>
      <c r="D118" s="13" t="inlineStr">
        <is>
          <t>Outdoors</t>
        </is>
      </c>
      <c r="E118" s="17" t="n">
        <v>109.9899979</v>
      </c>
      <c r="F118" s="14" t="n">
        <v>85</v>
      </c>
      <c r="G118" s="17" t="n">
        <v>9349.15</v>
      </c>
      <c r="H118" s="17" t="n">
        <v>1431.78</v>
      </c>
      <c r="I118" s="51" t="n">
        <v>0.0003</v>
      </c>
      <c r="J118" s="51" t="n">
        <v>0.9969</v>
      </c>
      <c r="K118" s="30" t="inlineStr">
        <is>
          <t>C</t>
        </is>
      </c>
      <c r="L118" s="52" t="n">
        <v>0.387</v>
      </c>
      <c r="M118" s="30" t="inlineStr">
        <is>
          <t>X</t>
        </is>
      </c>
      <c r="N118" s="30" t="inlineStr">
        <is>
          <t>CX</t>
        </is>
      </c>
      <c r="O118" s="13" t="inlineStr">
        <is>
          <t>LOW</t>
        </is>
      </c>
      <c r="P118" s="13" t="inlineStr">
        <is>
          <t>Bulk Order / High MOQ</t>
        </is>
      </c>
    </row>
    <row r="119" ht="18" customHeight="1">
      <c r="A119" s="31" t="n">
        <v>982</v>
      </c>
      <c r="B119" s="18" t="inlineStr">
        <is>
          <t>insta-bed Neverflat Air Mattress</t>
        </is>
      </c>
      <c r="C119" s="18" t="inlineStr">
        <is>
          <t>Hunting &amp; Shooting</t>
        </is>
      </c>
      <c r="D119" s="18" t="inlineStr">
        <is>
          <t>Fan Shop</t>
        </is>
      </c>
      <c r="E119" s="22" t="n">
        <v>149.9900055</v>
      </c>
      <c r="F119" s="19" t="n">
        <v>60</v>
      </c>
      <c r="G119" s="22" t="n">
        <v>8999.4</v>
      </c>
      <c r="H119" s="22" t="n">
        <v>1036.62</v>
      </c>
      <c r="I119" s="53" t="n">
        <v>0.0002</v>
      </c>
      <c r="J119" s="53" t="n">
        <v>0.9972</v>
      </c>
      <c r="K119" s="31" t="inlineStr">
        <is>
          <t>C</t>
        </is>
      </c>
      <c r="L119" s="54" t="n">
        <v>0.572</v>
      </c>
      <c r="M119" s="31" t="inlineStr">
        <is>
          <t>Y</t>
        </is>
      </c>
      <c r="N119" s="31" t="inlineStr">
        <is>
          <t>CY</t>
        </is>
      </c>
      <c r="O119" s="18" t="inlineStr">
        <is>
          <t>LOW</t>
        </is>
      </c>
      <c r="P119" s="18" t="inlineStr">
        <is>
          <t>Standard Reorder Tolerances</t>
        </is>
      </c>
    </row>
    <row r="120" ht="18" customHeight="1">
      <c r="A120" s="30" t="n">
        <v>127</v>
      </c>
      <c r="B120" s="13" t="inlineStr">
        <is>
          <t>Stiga Master Series ST3100 Competition Indoor</t>
        </is>
      </c>
      <c r="C120" s="13" t="inlineStr">
        <is>
          <t>Hockey</t>
        </is>
      </c>
      <c r="D120" s="13" t="inlineStr">
        <is>
          <t>Fitness</t>
        </is>
      </c>
      <c r="E120" s="17" t="n">
        <v>329.9899902</v>
      </c>
      <c r="F120" s="14" t="n">
        <v>27</v>
      </c>
      <c r="G120" s="17" t="n">
        <v>8909.73</v>
      </c>
      <c r="H120" s="17" t="n">
        <v>479.28</v>
      </c>
      <c r="I120" s="51" t="n">
        <v>0.0002</v>
      </c>
      <c r="J120" s="51" t="n">
        <v>0.9974</v>
      </c>
      <c r="K120" s="30" t="inlineStr">
        <is>
          <t>C</t>
        </is>
      </c>
      <c r="L120" s="52" t="n">
        <v>9.99</v>
      </c>
      <c r="M120" s="30" t="inlineStr">
        <is>
          <t>Z</t>
        </is>
      </c>
      <c r="N120" s="55" t="inlineStr">
        <is>
          <t>CZ</t>
        </is>
      </c>
      <c r="O120" s="13" t="inlineStr">
        <is>
          <t>PURGE / MONITOR</t>
        </is>
      </c>
      <c r="P120" s="13" t="inlineStr">
        <is>
          <t>Obsolescence Review / Rationalize</t>
        </is>
      </c>
    </row>
    <row r="121" ht="18" customHeight="1">
      <c r="A121" s="31" t="n">
        <v>775</v>
      </c>
      <c r="B121" s="18" t="inlineStr">
        <is>
          <t>Clicgear 8.0 Shoe Brush</t>
        </is>
      </c>
      <c r="C121" s="18" t="inlineStr">
        <is>
          <t>Golf Gloves</t>
        </is>
      </c>
      <c r="D121" s="18" t="inlineStr">
        <is>
          <t>Outdoors</t>
        </is>
      </c>
      <c r="E121" s="22" t="n">
        <v>9.989999771000001</v>
      </c>
      <c r="F121" s="19" t="n">
        <v>888</v>
      </c>
      <c r="G121" s="22" t="n">
        <v>8871.120000000001</v>
      </c>
      <c r="H121" s="22" t="n">
        <v>815.54</v>
      </c>
      <c r="I121" s="53" t="n">
        <v>0.0002</v>
      </c>
      <c r="J121" s="53" t="n">
        <v>0.9976999999999999</v>
      </c>
      <c r="K121" s="31" t="inlineStr">
        <is>
          <t>C</t>
        </is>
      </c>
      <c r="L121" s="54" t="n">
        <v>0.595</v>
      </c>
      <c r="M121" s="31" t="inlineStr">
        <is>
          <t>Y</t>
        </is>
      </c>
      <c r="N121" s="31" t="inlineStr">
        <is>
          <t>CY</t>
        </is>
      </c>
      <c r="O121" s="18" t="inlineStr">
        <is>
          <t>LOW</t>
        </is>
      </c>
      <c r="P121" s="18" t="inlineStr">
        <is>
          <t>Standard Reorder Tolerances</t>
        </is>
      </c>
    </row>
    <row r="122" ht="18" customHeight="1">
      <c r="A122" s="30" t="n">
        <v>715</v>
      </c>
      <c r="B122" s="13" t="inlineStr">
        <is>
          <t>TaylorMade Women's RBZ SL Rescue</t>
        </is>
      </c>
      <c r="C122" s="13" t="inlineStr">
        <is>
          <t>Golf Apparel</t>
        </is>
      </c>
      <c r="D122" s="13" t="inlineStr">
        <is>
          <t>Outdoors</t>
        </is>
      </c>
      <c r="E122" s="17" t="n">
        <v>129.9900055</v>
      </c>
      <c r="F122" s="14" t="n">
        <v>68</v>
      </c>
      <c r="G122" s="17" t="n">
        <v>8839.32</v>
      </c>
      <c r="H122" s="17" t="n">
        <v>1295.3</v>
      </c>
      <c r="I122" s="51" t="n">
        <v>0.0002</v>
      </c>
      <c r="J122" s="51" t="n">
        <v>0.9979</v>
      </c>
      <c r="K122" s="30" t="inlineStr">
        <is>
          <t>C</t>
        </is>
      </c>
      <c r="L122" s="52" t="n">
        <v>0.636</v>
      </c>
      <c r="M122" s="30" t="inlineStr">
        <is>
          <t>Y</t>
        </is>
      </c>
      <c r="N122" s="30" t="inlineStr">
        <is>
          <t>CY</t>
        </is>
      </c>
      <c r="O122" s="13" t="inlineStr">
        <is>
          <t>LOW</t>
        </is>
      </c>
      <c r="P122" s="13" t="inlineStr">
        <is>
          <t>Standard Reorder Tolerances</t>
        </is>
      </c>
    </row>
    <row r="123" ht="18" customHeight="1">
      <c r="A123" s="31" t="n">
        <v>58</v>
      </c>
      <c r="B123" s="18" t="inlineStr">
        <is>
          <t>Diamondback Boys' Insight 24 Performance Hybr</t>
        </is>
      </c>
      <c r="C123" s="18" t="inlineStr">
        <is>
          <t>Basketball</t>
        </is>
      </c>
      <c r="D123" s="18" t="inlineStr">
        <is>
          <t>Fitness</t>
        </is>
      </c>
      <c r="E123" s="22" t="n">
        <v>299.9899902</v>
      </c>
      <c r="F123" s="19" t="n">
        <v>29</v>
      </c>
      <c r="G123" s="22" t="n">
        <v>8699.709999999999</v>
      </c>
      <c r="H123" s="22" t="n">
        <v>1730.81</v>
      </c>
      <c r="I123" s="53" t="n">
        <v>0.0002</v>
      </c>
      <c r="J123" s="53" t="n">
        <v>0.9981</v>
      </c>
      <c r="K123" s="31" t="inlineStr">
        <is>
          <t>C</t>
        </is>
      </c>
      <c r="L123" s="54" t="n">
        <v>9.99</v>
      </c>
      <c r="M123" s="31" t="inlineStr">
        <is>
          <t>Z</t>
        </is>
      </c>
      <c r="N123" s="55" t="inlineStr">
        <is>
          <t>CZ</t>
        </is>
      </c>
      <c r="O123" s="18" t="inlineStr">
        <is>
          <t>PURGE / MONITOR</t>
        </is>
      </c>
      <c r="P123" s="18" t="inlineStr">
        <is>
          <t>Obsolescence Review / Rationalize</t>
        </is>
      </c>
    </row>
    <row r="124" ht="18" customHeight="1">
      <c r="A124" s="30" t="n">
        <v>61</v>
      </c>
      <c r="B124" s="13" t="inlineStr">
        <is>
          <t>Diamondback Girls' Clarity 24 Hybrid Bike 201</t>
        </is>
      </c>
      <c r="C124" s="13" t="inlineStr">
        <is>
          <t>Basketball</t>
        </is>
      </c>
      <c r="D124" s="13" t="inlineStr">
        <is>
          <t>Fitness</t>
        </is>
      </c>
      <c r="E124" s="17" t="n">
        <v>299.9899902</v>
      </c>
      <c r="F124" s="14" t="n">
        <v>28</v>
      </c>
      <c r="G124" s="17" t="n">
        <v>8399.719999999999</v>
      </c>
      <c r="H124" s="17" t="n">
        <v>284.42</v>
      </c>
      <c r="I124" s="51" t="n">
        <v>0.0002</v>
      </c>
      <c r="J124" s="51" t="n">
        <v>0.9984000000000001</v>
      </c>
      <c r="K124" s="30" t="inlineStr">
        <is>
          <t>C</t>
        </is>
      </c>
      <c r="L124" s="52" t="n">
        <v>9.99</v>
      </c>
      <c r="M124" s="30" t="inlineStr">
        <is>
          <t>Z</t>
        </is>
      </c>
      <c r="N124" s="55" t="inlineStr">
        <is>
          <t>CZ</t>
        </is>
      </c>
      <c r="O124" s="13" t="inlineStr">
        <is>
          <t>PURGE / MONITOR</t>
        </is>
      </c>
      <c r="P124" s="13" t="inlineStr">
        <is>
          <t>Obsolescence Review / Rationalize</t>
        </is>
      </c>
    </row>
    <row r="125" ht="18" customHeight="1">
      <c r="A125" s="31" t="n">
        <v>705</v>
      </c>
      <c r="B125" s="18" t="inlineStr">
        <is>
          <t>Cleveland Golf Women's 588 RTX CB Satin Chrom</t>
        </is>
      </c>
      <c r="C125" s="18" t="inlineStr">
        <is>
          <t>Golf Apparel</t>
        </is>
      </c>
      <c r="D125" s="18" t="inlineStr">
        <is>
          <t>Outdoors</t>
        </is>
      </c>
      <c r="E125" s="22" t="n">
        <v>119.9899979</v>
      </c>
      <c r="F125" s="19" t="n">
        <v>70</v>
      </c>
      <c r="G125" s="22" t="n">
        <v>8399.299999999999</v>
      </c>
      <c r="H125" s="22" t="n">
        <v>370.61</v>
      </c>
      <c r="I125" s="53" t="n">
        <v>0.0002</v>
      </c>
      <c r="J125" s="53" t="n">
        <v>0.9986</v>
      </c>
      <c r="K125" s="31" t="inlineStr">
        <is>
          <t>C</t>
        </is>
      </c>
      <c r="L125" s="54" t="n">
        <v>0.425</v>
      </c>
      <c r="M125" s="31" t="inlineStr">
        <is>
          <t>X</t>
        </is>
      </c>
      <c r="N125" s="31" t="inlineStr">
        <is>
          <t>CX</t>
        </is>
      </c>
      <c r="O125" s="18" t="inlineStr">
        <is>
          <t>LOW</t>
        </is>
      </c>
      <c r="P125" s="18" t="inlineStr">
        <is>
          <t>Bulk Order / High MOQ</t>
        </is>
      </c>
    </row>
    <row r="126" ht="18" customHeight="1">
      <c r="A126" s="30" t="n">
        <v>725</v>
      </c>
      <c r="B126" s="13" t="inlineStr">
        <is>
          <t>LIJA Women's Button Golf Dress</t>
        </is>
      </c>
      <c r="C126" s="13" t="inlineStr">
        <is>
          <t>Golf Shoes</t>
        </is>
      </c>
      <c r="D126" s="13" t="inlineStr">
        <is>
          <t>Outdoors</t>
        </is>
      </c>
      <c r="E126" s="17" t="n">
        <v>108</v>
      </c>
      <c r="F126" s="14" t="n">
        <v>76</v>
      </c>
      <c r="G126" s="17" t="n">
        <v>8208</v>
      </c>
      <c r="H126" s="17" t="n">
        <v>1156.6</v>
      </c>
      <c r="I126" s="51" t="n">
        <v>0.0002</v>
      </c>
      <c r="J126" s="51" t="n">
        <v>0.9987999999999999</v>
      </c>
      <c r="K126" s="30" t="inlineStr">
        <is>
          <t>C</t>
        </is>
      </c>
      <c r="L126" s="52" t="n">
        <v>0.52</v>
      </c>
      <c r="M126" s="30" t="inlineStr">
        <is>
          <t>Y</t>
        </is>
      </c>
      <c r="N126" s="30" t="inlineStr">
        <is>
          <t>CY</t>
        </is>
      </c>
      <c r="O126" s="13" t="inlineStr">
        <is>
          <t>LOW</t>
        </is>
      </c>
      <c r="P126" s="13" t="inlineStr">
        <is>
          <t>Standard Reorder Tolerances</t>
        </is>
      </c>
    </row>
    <row r="127" ht="18" customHeight="1">
      <c r="A127" s="31" t="n">
        <v>19</v>
      </c>
      <c r="B127" s="18" t="inlineStr">
        <is>
          <t>Nike Men's Fingertrap Max Training Shoe</t>
        </is>
      </c>
      <c r="C127" s="18" t="inlineStr">
        <is>
          <t>Soccer</t>
        </is>
      </c>
      <c r="D127" s="18" t="inlineStr">
        <is>
          <t>Fitness</t>
        </is>
      </c>
      <c r="E127" s="22" t="n">
        <v>124.9899979</v>
      </c>
      <c r="F127" s="19" t="n">
        <v>64</v>
      </c>
      <c r="G127" s="22" t="n">
        <v>7999.36</v>
      </c>
      <c r="H127" s="22" t="n">
        <v>602.38</v>
      </c>
      <c r="I127" s="53" t="n">
        <v>0.0002</v>
      </c>
      <c r="J127" s="53" t="n">
        <v>0.9990000000000001</v>
      </c>
      <c r="K127" s="31" t="inlineStr">
        <is>
          <t>C</t>
        </is>
      </c>
      <c r="L127" s="54" t="n">
        <v>0.523</v>
      </c>
      <c r="M127" s="31" t="inlineStr">
        <is>
          <t>Y</t>
        </is>
      </c>
      <c r="N127" s="31" t="inlineStr">
        <is>
          <t>CY</t>
        </is>
      </c>
      <c r="O127" s="18" t="inlineStr">
        <is>
          <t>LOW</t>
        </is>
      </c>
      <c r="P127" s="18" t="inlineStr">
        <is>
          <t>Standard Reorder Tolerances</t>
        </is>
      </c>
    </row>
    <row r="128" ht="18" customHeight="1">
      <c r="A128" s="30" t="n">
        <v>652</v>
      </c>
      <c r="B128" s="13" t="inlineStr">
        <is>
          <t>Merrell Women's Grassbow Sport Waterproof Hik</t>
        </is>
      </c>
      <c r="C128" s="13" t="inlineStr">
        <is>
          <t>Men's Golf Clubs</t>
        </is>
      </c>
      <c r="D128" s="13" t="inlineStr">
        <is>
          <t>Outdoors</t>
        </is>
      </c>
      <c r="E128" s="17" t="n">
        <v>129.9900055</v>
      </c>
      <c r="F128" s="14" t="n">
        <v>58</v>
      </c>
      <c r="G128" s="17" t="n">
        <v>7539.42</v>
      </c>
      <c r="H128" s="17" t="n">
        <v>1029.71</v>
      </c>
      <c r="I128" s="51" t="n">
        <v>0.0002</v>
      </c>
      <c r="J128" s="51" t="n">
        <v>0.9992</v>
      </c>
      <c r="K128" s="30" t="inlineStr">
        <is>
          <t>C</t>
        </is>
      </c>
      <c r="L128" s="52" t="n">
        <v>0.523</v>
      </c>
      <c r="M128" s="30" t="inlineStr">
        <is>
          <t>Y</t>
        </is>
      </c>
      <c r="N128" s="30" t="inlineStr">
        <is>
          <t>CY</t>
        </is>
      </c>
      <c r="O128" s="13" t="inlineStr">
        <is>
          <t>LOW</t>
        </is>
      </c>
      <c r="P128" s="13" t="inlineStr">
        <is>
          <t>Standard Reorder Tolerances</t>
        </is>
      </c>
    </row>
    <row r="129" ht="18" customHeight="1">
      <c r="A129" s="31" t="n">
        <v>860</v>
      </c>
      <c r="B129" s="18" t="inlineStr">
        <is>
          <t>Bushnell Pro X7 Jolt Slope Rangefinder</t>
        </is>
      </c>
      <c r="C129" s="18" t="inlineStr">
        <is>
          <t>Kids' Golf Clubs</t>
        </is>
      </c>
      <c r="D129" s="18" t="inlineStr">
        <is>
          <t>Outdoors</t>
        </is>
      </c>
      <c r="E129" s="22" t="n">
        <v>599.9899902</v>
      </c>
      <c r="F129" s="19" t="n">
        <v>11</v>
      </c>
      <c r="G129" s="22" t="n">
        <v>6599.89</v>
      </c>
      <c r="H129" s="22" t="n">
        <v>-255.95</v>
      </c>
      <c r="I129" s="53" t="n">
        <v>0.0002</v>
      </c>
      <c r="J129" s="53" t="n">
        <v>0.9994</v>
      </c>
      <c r="K129" s="31" t="inlineStr">
        <is>
          <t>C</t>
        </is>
      </c>
      <c r="L129" s="54" t="n">
        <v>9.99</v>
      </c>
      <c r="M129" s="31" t="inlineStr">
        <is>
          <t>Z</t>
        </is>
      </c>
      <c r="N129" s="55" t="inlineStr">
        <is>
          <t>CZ</t>
        </is>
      </c>
      <c r="O129" s="18" t="inlineStr">
        <is>
          <t>PURGE / MONITOR</t>
        </is>
      </c>
      <c r="P129" s="18" t="inlineStr">
        <is>
          <t>Obsolescence Review / Rationalize</t>
        </is>
      </c>
    </row>
    <row r="130" ht="18" customHeight="1">
      <c r="A130" s="30" t="n">
        <v>1361</v>
      </c>
      <c r="B130" s="13" t="inlineStr">
        <is>
          <t xml:space="preserve">Toys </t>
        </is>
      </c>
      <c r="C130" s="13" t="inlineStr">
        <is>
          <t>Toys</t>
        </is>
      </c>
      <c r="D130" s="13" t="inlineStr">
        <is>
          <t>Fan Shop</t>
        </is>
      </c>
      <c r="E130" s="17" t="n">
        <v>11.53999996</v>
      </c>
      <c r="F130" s="14" t="n">
        <v>529</v>
      </c>
      <c r="G130" s="17" t="n">
        <v>6104.66</v>
      </c>
      <c r="H130" s="17" t="n">
        <v>900.71</v>
      </c>
      <c r="I130" s="51" t="n">
        <v>0.0002</v>
      </c>
      <c r="J130" s="51" t="n">
        <v>0.9995999999999999</v>
      </c>
      <c r="K130" s="30" t="inlineStr">
        <is>
          <t>C</t>
        </is>
      </c>
      <c r="L130" s="52" t="n">
        <v>0.8110000000000001</v>
      </c>
      <c r="M130" s="30" t="inlineStr">
        <is>
          <t>Y</t>
        </is>
      </c>
      <c r="N130" s="30" t="inlineStr">
        <is>
          <t>CY</t>
        </is>
      </c>
      <c r="O130" s="13" t="inlineStr">
        <is>
          <t>LOW</t>
        </is>
      </c>
      <c r="P130" s="13" t="inlineStr">
        <is>
          <t>Standard Reorder Tolerances</t>
        </is>
      </c>
    </row>
    <row r="131" ht="18" customHeight="1">
      <c r="A131" s="31" t="n">
        <v>226</v>
      </c>
      <c r="B131" s="18" t="inlineStr">
        <is>
          <t>Bowflex SelectTech 1090 Dumbbells</t>
        </is>
      </c>
      <c r="C131" s="18" t="inlineStr">
        <is>
          <t>Fitness Accessories</t>
        </is>
      </c>
      <c r="D131" s="18" t="inlineStr">
        <is>
          <t>Footwear</t>
        </is>
      </c>
      <c r="E131" s="22" t="n">
        <v>599.9899902</v>
      </c>
      <c r="F131" s="19" t="n">
        <v>10</v>
      </c>
      <c r="G131" s="22" t="n">
        <v>5999.9</v>
      </c>
      <c r="H131" s="22" t="n">
        <v>1190.78</v>
      </c>
      <c r="I131" s="53" t="n">
        <v>0.0002</v>
      </c>
      <c r="J131" s="53" t="n">
        <v>0.9998</v>
      </c>
      <c r="K131" s="31" t="inlineStr">
        <is>
          <t>C</t>
        </is>
      </c>
      <c r="L131" s="54" t="n">
        <v>9.99</v>
      </c>
      <c r="M131" s="31" t="inlineStr">
        <is>
          <t>Z</t>
        </is>
      </c>
      <c r="N131" s="55" t="inlineStr">
        <is>
          <t>CZ</t>
        </is>
      </c>
      <c r="O131" s="18" t="inlineStr">
        <is>
          <t>PURGE / MONITOR</t>
        </is>
      </c>
      <c r="P131" s="18" t="inlineStr">
        <is>
          <t>Obsolescence Review / Rationalize</t>
        </is>
      </c>
    </row>
    <row r="132" ht="18" customHeight="1">
      <c r="A132" s="30" t="n">
        <v>311</v>
      </c>
      <c r="B132" s="13" t="inlineStr">
        <is>
          <t>Polar Loop Activity Tracker</t>
        </is>
      </c>
      <c r="C132" s="13" t="inlineStr">
        <is>
          <t>Kids' Golf Clubs</t>
        </is>
      </c>
      <c r="D132" s="13" t="inlineStr">
        <is>
          <t>Outdoors</t>
        </is>
      </c>
      <c r="E132" s="17" t="n">
        <v>109.9499969</v>
      </c>
      <c r="F132" s="14" t="n">
        <v>54</v>
      </c>
      <c r="G132" s="17" t="n">
        <v>5937.3</v>
      </c>
      <c r="H132" s="17" t="n">
        <v>326.2</v>
      </c>
      <c r="I132" s="51" t="n">
        <v>0.0002</v>
      </c>
      <c r="J132" s="51" t="n">
        <v>0.9998999999999999</v>
      </c>
      <c r="K132" s="30" t="inlineStr">
        <is>
          <t>C</t>
        </is>
      </c>
      <c r="L132" s="52" t="n">
        <v>0.471</v>
      </c>
      <c r="M132" s="30" t="inlineStr">
        <is>
          <t>X</t>
        </is>
      </c>
      <c r="N132" s="30" t="inlineStr">
        <is>
          <t>CX</t>
        </is>
      </c>
      <c r="O132" s="13" t="inlineStr">
        <is>
          <t>LOW</t>
        </is>
      </c>
      <c r="P132" s="13" t="inlineStr">
        <is>
          <t>Bulk Order / High MOQ</t>
        </is>
      </c>
    </row>
    <row r="133" ht="18" customHeight="1">
      <c r="A133" s="31" t="n">
        <v>1348</v>
      </c>
      <c r="B133" s="18" t="inlineStr">
        <is>
          <t>CDs of rock</t>
        </is>
      </c>
      <c r="C133" s="18" t="inlineStr">
        <is>
          <t xml:space="preserve">CDs </t>
        </is>
      </c>
      <c r="D133" s="18" t="inlineStr">
        <is>
          <t>Discs Shop</t>
        </is>
      </c>
      <c r="E133" s="22" t="n">
        <v>11.28999996</v>
      </c>
      <c r="F133" s="19" t="n">
        <v>271</v>
      </c>
      <c r="G133" s="22" t="n">
        <v>3059.59</v>
      </c>
      <c r="H133" s="22" t="n">
        <v>383.85</v>
      </c>
      <c r="I133" s="53" t="n">
        <v>0.0001</v>
      </c>
      <c r="J133" s="53" t="n">
        <v>1</v>
      </c>
      <c r="K133" s="31" t="inlineStr">
        <is>
          <t>C</t>
        </is>
      </c>
      <c r="L133" s="54" t="n">
        <v>9.99</v>
      </c>
      <c r="M133" s="31" t="inlineStr">
        <is>
          <t>Z</t>
        </is>
      </c>
      <c r="N133" s="55" t="inlineStr">
        <is>
          <t>CZ</t>
        </is>
      </c>
      <c r="O133" s="18" t="inlineStr">
        <is>
          <t>PURGE / MONITOR</t>
        </is>
      </c>
      <c r="P133" s="18" t="inlineStr">
        <is>
          <t>Obsolescence Review / Rationalize</t>
        </is>
      </c>
    </row>
  </sheetData>
  <mergeCells count="26">
    <mergeCell ref="F11:G11"/>
    <mergeCell ref="D10:E10"/>
    <mergeCell ref="B7:C7"/>
    <mergeCell ref="F10:G10"/>
    <mergeCell ref="F6:G6"/>
    <mergeCell ref="A6:A7"/>
    <mergeCell ref="F7:G7"/>
    <mergeCell ref="A1:N1"/>
    <mergeCell ref="D6:E6"/>
    <mergeCell ref="B11:C11"/>
    <mergeCell ref="D11:E11"/>
    <mergeCell ref="F5:G5"/>
    <mergeCell ref="B8:C8"/>
    <mergeCell ref="F8:G8"/>
    <mergeCell ref="A8:A9"/>
    <mergeCell ref="D7:E7"/>
    <mergeCell ref="A2:N2"/>
    <mergeCell ref="B10:C10"/>
    <mergeCell ref="B9:C9"/>
    <mergeCell ref="A10:A11"/>
    <mergeCell ref="D9:E9"/>
    <mergeCell ref="F9:G9"/>
    <mergeCell ref="D8:E8"/>
    <mergeCell ref="B6:C6"/>
    <mergeCell ref="B5:C5"/>
    <mergeCell ref="D5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4" customWidth="1" min="3" max="3"/>
    <col width="38" customWidth="1" min="4" max="4"/>
    <col width="23" customWidth="1" min="5" max="5"/>
    <col width="38" customWidth="1" min="6" max="6"/>
    <col width="29" customWidth="1" min="7" max="7"/>
    <col width="40" customWidth="1" min="8" max="8"/>
    <col width="25" customWidth="1" min="9" max="9"/>
    <col width="40" customWidth="1" min="10" max="10"/>
    <col width="24" customWidth="1" min="11" max="11"/>
    <col width="40" customWidth="1" min="12" max="12"/>
    <col width="26" customWidth="1" min="13" max="13"/>
    <col width="21" customWidth="1" min="14" max="14"/>
    <col width="20" customWidth="1" min="15" max="15"/>
  </cols>
  <sheetData>
    <row r="1" ht="28" customHeight="1">
      <c r="A1" s="1" t="inlineStr">
        <is>
          <t>SKU REORDER POINT (ROP) &amp; INVENTORY ALLOCATION ENGINE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Safety Stock Buffers, Inventory Valuation, and Dynamic What-If Reorder Diagnostics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/>
    <row r="4">
      <c r="A4" s="10" t="inlineStr">
        <is>
          <t>1. DYNAMIC SKU DIAGNOSTIC LOOKUP TOOL</t>
        </is>
      </c>
    </row>
    <row r="5">
      <c r="A5" s="34" t="inlineStr">
        <is>
          <t>Enter Product ID:</t>
        </is>
      </c>
      <c r="B5" s="56" t="n">
        <v>1355</v>
      </c>
      <c r="C5" s="34" t="inlineStr">
        <is>
          <t>Product Name:</t>
        </is>
      </c>
      <c r="D5" s="34">
        <f>XLOOKUP(B5, A12:A129, B12:B129, "SKU Not Found")</f>
        <v/>
      </c>
      <c r="E5" s="43" t="n"/>
      <c r="F5" s="43" t="n"/>
      <c r="G5" s="34" t="inlineStr">
        <is>
          <t>Category:</t>
        </is>
      </c>
      <c r="H5" s="13">
        <f>XLOOKUP(B5, A12:A129, C12:C129, "N/A")</f>
        <v/>
      </c>
      <c r="I5" s="34" t="inlineStr">
        <is>
          <t>ABC-XYZ Segment:</t>
        </is>
      </c>
      <c r="J5" s="34">
        <f>XLOOKUP(B5, A12:A129, F12:F129, "N/A")</f>
        <v/>
      </c>
    </row>
    <row r="6">
      <c r="A6" s="13" t="inlineStr">
        <is>
          <t>Mean Daily Demand:</t>
        </is>
      </c>
      <c r="B6" s="57">
        <f>XLOOKUP(B5, A12:A129, G12:G129, 0)</f>
        <v/>
      </c>
      <c r="C6" s="13" t="inlineStr">
        <is>
          <t>Avg Lead Time (Days):</t>
        </is>
      </c>
      <c r="D6" s="57">
        <f>XLOOKUP(B5, A12:A129, H12:H129, 0)</f>
        <v/>
      </c>
      <c r="E6" s="13" t="inlineStr">
        <is>
          <t>Safety Stock Buffer:</t>
        </is>
      </c>
      <c r="F6" s="58">
        <f>XLOOKUP(B5, A12:A129, I12:I129, 0)</f>
        <v/>
      </c>
      <c r="G6" s="13" t="inlineStr">
        <is>
          <t>Reorder Point (ROP):</t>
        </is>
      </c>
      <c r="H6" s="58">
        <f>XLOOKUP(B5, A12:A129, J12:J129, 0)</f>
        <v/>
      </c>
      <c r="I6" s="13" t="inlineStr">
        <is>
          <t>Current On-Hand Stock:</t>
        </is>
      </c>
      <c r="J6" s="58">
        <f>XLOOKUP(B5, A12:A129, K12:K129, 0)</f>
        <v/>
      </c>
    </row>
    <row r="7">
      <c r="A7" s="34" t="inlineStr">
        <is>
          <t>Operational Directive:</t>
        </is>
      </c>
      <c r="B7" s="59">
        <f>IF(H6&gt;J6, "⚠️ CRITICAL DEFICIT: Reorder Immediately (" &amp; (H6-J6) &amp; " units below safety threshold)", IF(J6&gt;2.2*H6, "📦 OVERSTOCKED: Inventory exceeds 220% of ROP (Liquidate / Reduce MOQ)", "✅ OPTIMAL: On-hand stock is within operational S&amp;OP band"))</f>
        <v/>
      </c>
      <c r="C7" s="43" t="n"/>
      <c r="D7" s="43" t="n"/>
      <c r="E7" s="43" t="n"/>
      <c r="F7" s="43" t="n"/>
      <c r="G7" s="34" t="inlineStr">
        <is>
          <t>Days of Inventory On-Hand:</t>
        </is>
      </c>
      <c r="H7" s="34">
        <f>IF(B6&gt;0, ROUND(J6/B6, 1) &amp; " Days", "N/A")</f>
        <v/>
      </c>
      <c r="I7" s="34" t="inlineStr">
        <is>
          <t>Unit Price:</t>
        </is>
      </c>
      <c r="J7" s="60">
        <f>XLOOKUP(B5, A12:A129, E12:E129, 0)</f>
        <v/>
      </c>
    </row>
    <row r="8"/>
    <row r="9"/>
    <row r="10">
      <c r="A10" s="10" t="inlineStr">
        <is>
          <t>2. ENTERPRISE REORDER POINT &amp; CAPITAL ALLOCATION ROSTER</t>
        </is>
      </c>
    </row>
    <row r="11" ht="22" customHeight="1">
      <c r="A11" s="12" t="inlineStr">
        <is>
          <t>Product ID</t>
        </is>
      </c>
      <c r="B11" s="12" t="inlineStr">
        <is>
          <t>Product Name</t>
        </is>
      </c>
      <c r="C11" s="12" t="inlineStr">
        <is>
          <t>Category</t>
        </is>
      </c>
      <c r="D11" s="12" t="inlineStr">
        <is>
          <t>Department</t>
        </is>
      </c>
      <c r="E11" s="12" t="inlineStr">
        <is>
          <t>Unit Price ($)</t>
        </is>
      </c>
      <c r="F11" s="12" t="inlineStr">
        <is>
          <t>ABC-XYZ</t>
        </is>
      </c>
      <c r="G11" s="12" t="inlineStr">
        <is>
          <t>Daily Demand</t>
        </is>
      </c>
      <c r="H11" s="12" t="inlineStr">
        <is>
          <t>Lead Time (Days)</t>
        </is>
      </c>
      <c r="I11" s="12" t="inlineStr">
        <is>
          <t>Safety Stock (Units)</t>
        </is>
      </c>
      <c r="J11" s="12" t="inlineStr">
        <is>
          <t>Reorder Point (ROP)</t>
        </is>
      </c>
      <c r="K11" s="12" t="inlineStr">
        <is>
          <t>Current Stock (Units)</t>
        </is>
      </c>
      <c r="L11" s="12" t="inlineStr">
        <is>
          <t>Fulfillment Status</t>
        </is>
      </c>
      <c r="M11" s="12" t="inlineStr">
        <is>
          <t>Inventory Valuation ($)</t>
        </is>
      </c>
      <c r="N11" s="12" t="inlineStr">
        <is>
          <t>Excess Capital ($)</t>
        </is>
      </c>
      <c r="O11" s="12" t="inlineStr">
        <is>
          <t>Shortage Risk ($)</t>
        </is>
      </c>
    </row>
    <row r="12" ht="18" customHeight="1">
      <c r="A12" s="30" t="n">
        <v>1355</v>
      </c>
      <c r="B12" s="13" t="inlineStr">
        <is>
          <t>Lawn mower</t>
        </is>
      </c>
      <c r="C12" s="13" t="inlineStr">
        <is>
          <t>Garden</t>
        </is>
      </c>
      <c r="D12" s="13" t="inlineStr">
        <is>
          <t>Outdoors</t>
        </is>
      </c>
      <c r="E12" s="17" t="n">
        <v>532.5800171</v>
      </c>
      <c r="F12" s="30" t="inlineStr">
        <is>
          <t>BZ</t>
        </is>
      </c>
      <c r="G12" s="16" t="n">
        <v>60.5</v>
      </c>
      <c r="H12" s="16" t="n">
        <v>3.94</v>
      </c>
      <c r="I12" s="14" t="n">
        <v>146</v>
      </c>
      <c r="J12" s="14" t="n">
        <v>385</v>
      </c>
      <c r="K12" s="14" t="n">
        <v>216</v>
      </c>
      <c r="L12" s="61">
        <f>IF(K12&lt;J12, "⚠️ REORDER IMMEDIATELY", IF(K12&gt;2.2*J12, "📦 OVERSTOCKED", "✅ OPTIMAL"))</f>
        <v/>
      </c>
      <c r="M12" s="17" t="n">
        <v>115037.28</v>
      </c>
      <c r="N12" s="17" t="n">
        <v>0</v>
      </c>
      <c r="O12" s="17" t="n">
        <v>90006.02</v>
      </c>
    </row>
    <row r="13" ht="18" customHeight="1">
      <c r="A13" s="31" t="n">
        <v>1351</v>
      </c>
      <c r="B13" s="18" t="inlineStr">
        <is>
          <t>Dell Laptop</t>
        </is>
      </c>
      <c r="C13" s="18" t="inlineStr">
        <is>
          <t>Computers</t>
        </is>
      </c>
      <c r="D13" s="18" t="inlineStr">
        <is>
          <t>Technology</t>
        </is>
      </c>
      <c r="E13" s="22" t="n">
        <v>1500</v>
      </c>
      <c r="F13" s="31" t="inlineStr">
        <is>
          <t>BZ</t>
        </is>
      </c>
      <c r="G13" s="21" t="n">
        <v>55.25</v>
      </c>
      <c r="H13" s="21" t="n">
        <v>3.95</v>
      </c>
      <c r="I13" s="19" t="n">
        <v>141</v>
      </c>
      <c r="J13" s="19" t="n">
        <v>360</v>
      </c>
      <c r="K13" s="19" t="n">
        <v>332</v>
      </c>
      <c r="L13" s="61">
        <f>IF(K13&lt;J13, "⚠️ REORDER IMMEDIATELY", IF(K13&gt;2.2*J13, "📦 OVERSTOCKED", "✅ OPTIMAL"))</f>
        <v/>
      </c>
      <c r="M13" s="22" t="n">
        <v>498000</v>
      </c>
      <c r="N13" s="22" t="n">
        <v>0</v>
      </c>
      <c r="O13" s="22" t="n">
        <v>42000</v>
      </c>
    </row>
    <row r="14" ht="18" customHeight="1">
      <c r="A14" s="30" t="n">
        <v>1357</v>
      </c>
      <c r="B14" s="13" t="inlineStr">
        <is>
          <t>Men's gala suit</t>
        </is>
      </c>
      <c r="C14" s="13" t="inlineStr">
        <is>
          <t>Men's Clothing</t>
        </is>
      </c>
      <c r="D14" s="13" t="inlineStr">
        <is>
          <t>Apparel</t>
        </is>
      </c>
      <c r="E14" s="17" t="n">
        <v>210.8500061</v>
      </c>
      <c r="F14" s="30" t="inlineStr">
        <is>
          <t>CZ</t>
        </is>
      </c>
      <c r="G14" s="16" t="n">
        <v>52</v>
      </c>
      <c r="H14" s="16" t="n">
        <v>3.99</v>
      </c>
      <c r="I14" s="14" t="n">
        <v>137</v>
      </c>
      <c r="J14" s="14" t="n">
        <v>345</v>
      </c>
      <c r="K14" s="14" t="n">
        <v>255</v>
      </c>
      <c r="L14" s="61">
        <f>IF(K14&lt;J14, "⚠️ REORDER IMMEDIATELY", IF(K14&gt;2.2*J14, "📦 OVERSTOCKED", "✅ OPTIMAL"))</f>
        <v/>
      </c>
      <c r="M14" s="17" t="n">
        <v>53766.75</v>
      </c>
      <c r="N14" s="17" t="n">
        <v>0</v>
      </c>
      <c r="O14" s="17" t="n">
        <v>18976.5</v>
      </c>
    </row>
    <row r="15" ht="18" customHeight="1">
      <c r="A15" s="31" t="n">
        <v>1363</v>
      </c>
      <c r="B15" s="18" t="inlineStr">
        <is>
          <t>Summer dresses</t>
        </is>
      </c>
      <c r="C15" s="18" t="inlineStr">
        <is>
          <t>Women's Clothing</t>
        </is>
      </c>
      <c r="D15" s="18" t="inlineStr">
        <is>
          <t>Apparel</t>
        </is>
      </c>
      <c r="E15" s="22" t="n">
        <v>215.8200073</v>
      </c>
      <c r="F15" s="31" t="inlineStr">
        <is>
          <t>BZ</t>
        </is>
      </c>
      <c r="G15" s="21" t="n">
        <v>59.09</v>
      </c>
      <c r="H15" s="21" t="n">
        <v>4.02</v>
      </c>
      <c r="I15" s="19" t="n">
        <v>154</v>
      </c>
      <c r="J15" s="19" t="n">
        <v>392</v>
      </c>
      <c r="K15" s="19" t="n">
        <v>310</v>
      </c>
      <c r="L15" s="61">
        <f>IF(K15&lt;J15, "⚠️ REORDER IMMEDIATELY", IF(K15&gt;2.2*J15, "📦 OVERSTOCKED", "✅ OPTIMAL"))</f>
        <v/>
      </c>
      <c r="M15" s="22" t="n">
        <v>66904.2</v>
      </c>
      <c r="N15" s="22" t="n">
        <v>0</v>
      </c>
      <c r="O15" s="22" t="n">
        <v>17697.24</v>
      </c>
    </row>
    <row r="16" ht="18" customHeight="1">
      <c r="A16" s="30" t="n">
        <v>60</v>
      </c>
      <c r="B16" s="13" t="inlineStr">
        <is>
          <t>SOLE E25 Elliptical</t>
        </is>
      </c>
      <c r="C16" s="13" t="inlineStr">
        <is>
          <t>Basketball</t>
        </is>
      </c>
      <c r="D16" s="13" t="inlineStr">
        <is>
          <t>Fitness</t>
        </is>
      </c>
      <c r="E16" s="17" t="n">
        <v>999.9899902</v>
      </c>
      <c r="F16" s="30" t="inlineStr">
        <is>
          <t>CZ</t>
        </is>
      </c>
      <c r="G16" s="16" t="n">
        <v>3.33</v>
      </c>
      <c r="H16" s="16" t="n">
        <v>3.63</v>
      </c>
      <c r="I16" s="14" t="n">
        <v>10</v>
      </c>
      <c r="J16" s="14" t="n">
        <v>23</v>
      </c>
      <c r="K16" s="14" t="n">
        <v>12</v>
      </c>
      <c r="L16" s="61">
        <f>IF(K16&lt;J16, "⚠️ REORDER IMMEDIATELY", IF(K16&gt;2.2*J16, "📦 OVERSTOCKED", "✅ OPTIMAL"))</f>
        <v/>
      </c>
      <c r="M16" s="17" t="n">
        <v>11999.88</v>
      </c>
      <c r="N16" s="17" t="n">
        <v>0</v>
      </c>
      <c r="O16" s="17" t="n">
        <v>10999.89</v>
      </c>
    </row>
    <row r="17" ht="18" customHeight="1">
      <c r="A17" s="31" t="n">
        <v>502</v>
      </c>
      <c r="B17" s="18" t="inlineStr">
        <is>
          <t>Nike Men's Dri-FIT Victory Golf Polo</t>
        </is>
      </c>
      <c r="C17" s="18" t="inlineStr">
        <is>
          <t>Women's Apparel</t>
        </is>
      </c>
      <c r="D17" s="18" t="inlineStr">
        <is>
          <t>Golf</t>
        </is>
      </c>
      <c r="E17" s="22" t="n">
        <v>50</v>
      </c>
      <c r="F17" s="31" t="inlineStr">
        <is>
          <t>AX</t>
        </is>
      </c>
      <c r="G17" s="21" t="n">
        <v>62.58</v>
      </c>
      <c r="H17" s="21" t="n">
        <v>3.99</v>
      </c>
      <c r="I17" s="19" t="n">
        <v>155</v>
      </c>
      <c r="J17" s="19" t="n">
        <v>405</v>
      </c>
      <c r="K17" s="19" t="n">
        <v>245</v>
      </c>
      <c r="L17" s="61">
        <f>IF(K17&lt;J17, "⚠️ REORDER IMMEDIATELY", IF(K17&gt;2.2*J17, "📦 OVERSTOCKED", "✅ OPTIMAL"))</f>
        <v/>
      </c>
      <c r="M17" s="22" t="n">
        <v>12250</v>
      </c>
      <c r="N17" s="22" t="n">
        <v>0</v>
      </c>
      <c r="O17" s="22" t="n">
        <v>8000</v>
      </c>
    </row>
    <row r="18" ht="18" customHeight="1">
      <c r="A18" s="30" t="n">
        <v>1073</v>
      </c>
      <c r="B18" s="13" t="inlineStr">
        <is>
          <t>Pelican Sunstream 100 Kayak</t>
        </is>
      </c>
      <c r="C18" s="13" t="inlineStr">
        <is>
          <t>Water Sports</t>
        </is>
      </c>
      <c r="D18" s="13" t="inlineStr">
        <is>
          <t>Fan Shop</t>
        </is>
      </c>
      <c r="E18" s="17" t="n">
        <v>199.9900055</v>
      </c>
      <c r="F18" s="30" t="inlineStr">
        <is>
          <t>AX</t>
        </is>
      </c>
      <c r="G18" s="16" t="n">
        <v>15.41</v>
      </c>
      <c r="H18" s="16" t="n">
        <v>3.96</v>
      </c>
      <c r="I18" s="14" t="n">
        <v>39</v>
      </c>
      <c r="J18" s="14" t="n">
        <v>101</v>
      </c>
      <c r="K18" s="14" t="n">
        <v>63</v>
      </c>
      <c r="L18" s="61">
        <f>IF(K18&lt;J18, "⚠️ REORDER IMMEDIATELY", IF(K18&gt;2.2*J18, "📦 OVERSTOCKED", "✅ OPTIMAL"))</f>
        <v/>
      </c>
      <c r="M18" s="17" t="n">
        <v>12599.37</v>
      </c>
      <c r="N18" s="17" t="n">
        <v>0</v>
      </c>
      <c r="O18" s="17" t="n">
        <v>7599.62</v>
      </c>
    </row>
    <row r="19" ht="18" customHeight="1">
      <c r="A19" s="31" t="n">
        <v>1354</v>
      </c>
      <c r="B19" s="18" t="inlineStr">
        <is>
          <t xml:space="preserve">DVDs </t>
        </is>
      </c>
      <c r="C19" s="18" t="inlineStr">
        <is>
          <t>DVDs</t>
        </is>
      </c>
      <c r="D19" s="18" t="inlineStr">
        <is>
          <t>Discs Shop</t>
        </is>
      </c>
      <c r="E19" s="22" t="n">
        <v>164.3800049</v>
      </c>
      <c r="F19" s="31" t="inlineStr">
        <is>
          <t>BZ</t>
        </is>
      </c>
      <c r="G19" s="21" t="n">
        <v>48.3</v>
      </c>
      <c r="H19" s="21" t="n">
        <v>3.99</v>
      </c>
      <c r="I19" s="19" t="n">
        <v>143</v>
      </c>
      <c r="J19" s="19" t="n">
        <v>336</v>
      </c>
      <c r="K19" s="19" t="n">
        <v>296</v>
      </c>
      <c r="L19" s="61">
        <f>IF(K19&lt;J19, "⚠️ REORDER IMMEDIATELY", IF(K19&gt;2.2*J19, "📦 OVERSTOCKED", "✅ OPTIMAL"))</f>
        <v/>
      </c>
      <c r="M19" s="22" t="n">
        <v>48656.48</v>
      </c>
      <c r="N19" s="22" t="n">
        <v>0</v>
      </c>
      <c r="O19" s="22" t="n">
        <v>6575.2</v>
      </c>
    </row>
    <row r="20" ht="18" customHeight="1">
      <c r="A20" s="30" t="n">
        <v>1346</v>
      </c>
      <c r="B20" s="13" t="inlineStr">
        <is>
          <t xml:space="preserve">Sports Books </t>
        </is>
      </c>
      <c r="C20" s="13" t="inlineStr">
        <is>
          <t xml:space="preserve">Books </t>
        </is>
      </c>
      <c r="D20" s="13" t="inlineStr">
        <is>
          <t>Book Shop</t>
        </is>
      </c>
      <c r="E20" s="17" t="n">
        <v>31.07999992</v>
      </c>
      <c r="F20" s="30" t="inlineStr">
        <is>
          <t>CZ</t>
        </is>
      </c>
      <c r="G20" s="16" t="n">
        <v>45</v>
      </c>
      <c r="H20" s="16" t="n">
        <v>4.05</v>
      </c>
      <c r="I20" s="14" t="n">
        <v>142</v>
      </c>
      <c r="J20" s="14" t="n">
        <v>325</v>
      </c>
      <c r="K20" s="14" t="n">
        <v>151</v>
      </c>
      <c r="L20" s="61">
        <f>IF(K20&lt;J20, "⚠️ REORDER IMMEDIATELY", IF(K20&gt;2.2*J20, "📦 OVERSTOCKED", "✅ OPTIMAL"))</f>
        <v/>
      </c>
      <c r="M20" s="17" t="n">
        <v>4693.08</v>
      </c>
      <c r="N20" s="17" t="n">
        <v>0</v>
      </c>
      <c r="O20" s="17" t="n">
        <v>5407.92</v>
      </c>
    </row>
    <row r="21" ht="18" customHeight="1">
      <c r="A21" s="31" t="n">
        <v>191</v>
      </c>
      <c r="B21" s="18" t="inlineStr">
        <is>
          <t>Nike Men's Free 5.0+ Running Shoe</t>
        </is>
      </c>
      <c r="C21" s="18" t="inlineStr">
        <is>
          <t>Cardio Equipment</t>
        </is>
      </c>
      <c r="D21" s="18" t="inlineStr">
        <is>
          <t>Footwear</t>
        </is>
      </c>
      <c r="E21" s="22" t="n">
        <v>99.98999786</v>
      </c>
      <c r="F21" s="31" t="inlineStr">
        <is>
          <t>AX</t>
        </is>
      </c>
      <c r="G21" s="21" t="n">
        <v>36.46</v>
      </c>
      <c r="H21" s="21" t="n">
        <v>4.01</v>
      </c>
      <c r="I21" s="19" t="n">
        <v>95</v>
      </c>
      <c r="J21" s="19" t="n">
        <v>242</v>
      </c>
      <c r="K21" s="19" t="n">
        <v>190</v>
      </c>
      <c r="L21" s="61">
        <f>IF(K21&lt;J21, "⚠️ REORDER IMMEDIATELY", IF(K21&gt;2.2*J21, "📦 OVERSTOCKED", "✅ OPTIMAL"))</f>
        <v/>
      </c>
      <c r="M21" s="22" t="n">
        <v>18998.1</v>
      </c>
      <c r="N21" s="22" t="n">
        <v>0</v>
      </c>
      <c r="O21" s="22" t="n">
        <v>5199.48</v>
      </c>
    </row>
    <row r="22" ht="18" customHeight="1">
      <c r="A22" s="30" t="n">
        <v>303</v>
      </c>
      <c r="B22" s="13" t="inlineStr">
        <is>
          <t>Garmin Forerunner 910XT GPS Watch</t>
        </is>
      </c>
      <c r="C22" s="13" t="inlineStr">
        <is>
          <t>Kids' Golf Clubs</t>
        </is>
      </c>
      <c r="D22" s="13" t="inlineStr">
        <is>
          <t>Outdoors</t>
        </is>
      </c>
      <c r="E22" s="17" t="n">
        <v>399.9899902</v>
      </c>
      <c r="F22" s="30" t="inlineStr">
        <is>
          <t>CZ</t>
        </is>
      </c>
      <c r="G22" s="16" t="n">
        <v>2.06</v>
      </c>
      <c r="H22" s="16" t="n">
        <v>4.18</v>
      </c>
      <c r="I22" s="14" t="n">
        <v>6</v>
      </c>
      <c r="J22" s="14" t="n">
        <v>15</v>
      </c>
      <c r="K22" s="14" t="n">
        <v>7</v>
      </c>
      <c r="L22" s="61">
        <f>IF(K22&lt;J22, "⚠️ REORDER IMMEDIATELY", IF(K22&gt;2.2*J22, "📦 OVERSTOCKED", "✅ OPTIMAL"))</f>
        <v/>
      </c>
      <c r="M22" s="17" t="n">
        <v>2799.93</v>
      </c>
      <c r="N22" s="17" t="n">
        <v>0</v>
      </c>
      <c r="O22" s="17" t="n">
        <v>3199.92</v>
      </c>
    </row>
    <row r="23" ht="18" customHeight="1">
      <c r="A23" s="31" t="n">
        <v>1059</v>
      </c>
      <c r="B23" s="18" t="inlineStr">
        <is>
          <t>Pelican Maverick 100X Kayak</t>
        </is>
      </c>
      <c r="C23" s="18" t="inlineStr">
        <is>
          <t>Water Sports</t>
        </is>
      </c>
      <c r="D23" s="18" t="inlineStr">
        <is>
          <t>Fan Shop</t>
        </is>
      </c>
      <c r="E23" s="22" t="n">
        <v>349.9899902</v>
      </c>
      <c r="F23" s="31" t="inlineStr">
        <is>
          <t>CZ</t>
        </is>
      </c>
      <c r="G23" s="21" t="n">
        <v>2.11</v>
      </c>
      <c r="H23" s="21" t="n">
        <v>3.98</v>
      </c>
      <c r="I23" s="19" t="n">
        <v>7</v>
      </c>
      <c r="J23" s="19" t="n">
        <v>16</v>
      </c>
      <c r="K23" s="19" t="n">
        <v>7</v>
      </c>
      <c r="L23" s="61">
        <f>IF(K23&lt;J23, "⚠️ REORDER IMMEDIATELY", IF(K23&gt;2.2*J23, "📦 OVERSTOCKED", "✅ OPTIMAL"))</f>
        <v/>
      </c>
      <c r="M23" s="22" t="n">
        <v>2449.93</v>
      </c>
      <c r="N23" s="22" t="n">
        <v>0</v>
      </c>
      <c r="O23" s="22" t="n">
        <v>3149.91</v>
      </c>
    </row>
    <row r="24" ht="18" customHeight="1">
      <c r="A24" s="30" t="n">
        <v>607</v>
      </c>
      <c r="B24" s="13" t="inlineStr">
        <is>
          <t>Garmin Approach S3 Golf GPS Watch</t>
        </is>
      </c>
      <c r="C24" s="13" t="inlineStr">
        <is>
          <t>Trade-In</t>
        </is>
      </c>
      <c r="D24" s="13" t="inlineStr">
        <is>
          <t>Outdoors</t>
        </is>
      </c>
      <c r="E24" s="17" t="n">
        <v>249.9900055</v>
      </c>
      <c r="F24" s="30" t="inlineStr">
        <is>
          <t>CX</t>
        </is>
      </c>
      <c r="G24" s="16" t="n">
        <v>1.35</v>
      </c>
      <c r="H24" s="16" t="n">
        <v>4.16</v>
      </c>
      <c r="I24" s="14" t="n">
        <v>4</v>
      </c>
      <c r="J24" s="14" t="n">
        <v>10</v>
      </c>
      <c r="K24" s="14" t="n">
        <v>5</v>
      </c>
      <c r="L24" s="61">
        <f>IF(K24&lt;J24, "⚠️ REORDER IMMEDIATELY", IF(K24&gt;2.2*J24, "📦 OVERSTOCKED", "✅ OPTIMAL"))</f>
        <v/>
      </c>
      <c r="M24" s="17" t="n">
        <v>1249.95</v>
      </c>
      <c r="N24" s="17" t="n">
        <v>0</v>
      </c>
      <c r="O24" s="17" t="n">
        <v>1249.95</v>
      </c>
    </row>
    <row r="25" ht="18" customHeight="1">
      <c r="A25" s="31" t="n">
        <v>724</v>
      </c>
      <c r="B25" s="18" t="inlineStr">
        <is>
          <t>LIJA Women's Mid-Length Panel Golf Shorts</t>
        </is>
      </c>
      <c r="C25" s="18" t="inlineStr">
        <is>
          <t>Golf Shoes</t>
        </is>
      </c>
      <c r="D25" s="18" t="inlineStr">
        <is>
          <t>Outdoors</t>
        </is>
      </c>
      <c r="E25" s="22" t="n">
        <v>100</v>
      </c>
      <c r="F25" s="31" t="inlineStr">
        <is>
          <t>CY</t>
        </is>
      </c>
      <c r="G25" s="21" t="n">
        <v>3.98</v>
      </c>
      <c r="H25" s="21" t="n">
        <v>3.9</v>
      </c>
      <c r="I25" s="19" t="n">
        <v>14</v>
      </c>
      <c r="J25" s="19" t="n">
        <v>30</v>
      </c>
      <c r="K25" s="19" t="n">
        <v>18</v>
      </c>
      <c r="L25" s="61">
        <f>IF(K25&lt;J25, "⚠️ REORDER IMMEDIATELY", IF(K25&gt;2.2*J25, "📦 OVERSTOCKED", "✅ OPTIMAL"))</f>
        <v/>
      </c>
      <c r="M25" s="22" t="n">
        <v>1800</v>
      </c>
      <c r="N25" s="22" t="n">
        <v>0</v>
      </c>
      <c r="O25" s="22" t="n">
        <v>1200</v>
      </c>
    </row>
    <row r="26" ht="18" customHeight="1">
      <c r="A26" s="30" t="n">
        <v>58</v>
      </c>
      <c r="B26" s="13" t="inlineStr">
        <is>
          <t>Diamondback Boys' Insight 24 Performance Hybr</t>
        </is>
      </c>
      <c r="C26" s="13" t="inlineStr">
        <is>
          <t>Basketball</t>
        </is>
      </c>
      <c r="D26" s="13" t="inlineStr">
        <is>
          <t>Fitness</t>
        </is>
      </c>
      <c r="E26" s="17" t="n">
        <v>299.9899902</v>
      </c>
      <c r="F26" s="30" t="inlineStr">
        <is>
          <t>CZ</t>
        </is>
      </c>
      <c r="G26" s="16" t="n">
        <v>2.07</v>
      </c>
      <c r="H26" s="16" t="n">
        <v>3.63</v>
      </c>
      <c r="I26" s="14" t="n">
        <v>6</v>
      </c>
      <c r="J26" s="14" t="n">
        <v>14</v>
      </c>
      <c r="K26" s="14" t="n">
        <v>10</v>
      </c>
      <c r="L26" s="61">
        <f>IF(K26&lt;J26, "⚠️ REORDER IMMEDIATELY", IF(K26&gt;2.2*J26, "📦 OVERSTOCKED", "✅ OPTIMAL"))</f>
        <v/>
      </c>
      <c r="M26" s="17" t="n">
        <v>2999.9</v>
      </c>
      <c r="N26" s="17" t="n">
        <v>0</v>
      </c>
      <c r="O26" s="17" t="n">
        <v>1199.96</v>
      </c>
    </row>
    <row r="27" ht="18" customHeight="1">
      <c r="A27" s="31" t="n">
        <v>728</v>
      </c>
      <c r="B27" s="18" t="inlineStr">
        <is>
          <t>LIJA Women's Eyelet Sleeveless Golf Polo</t>
        </is>
      </c>
      <c r="C27" s="18" t="inlineStr">
        <is>
          <t>Golf Shoes</t>
        </is>
      </c>
      <c r="D27" s="18" t="inlineStr">
        <is>
          <t>Outdoors</t>
        </is>
      </c>
      <c r="E27" s="22" t="n">
        <v>65</v>
      </c>
      <c r="F27" s="31" t="inlineStr">
        <is>
          <t>BY</t>
        </is>
      </c>
      <c r="G27" s="21" t="n">
        <v>3.56</v>
      </c>
      <c r="H27" s="21" t="n">
        <v>3.86</v>
      </c>
      <c r="I27" s="19" t="n">
        <v>11</v>
      </c>
      <c r="J27" s="19" t="n">
        <v>25</v>
      </c>
      <c r="K27" s="19" t="n">
        <v>12</v>
      </c>
      <c r="L27" s="61">
        <f>IF(K27&lt;J27, "⚠️ REORDER IMMEDIATELY", IF(K27&gt;2.2*J27, "📦 OVERSTOCKED", "✅ OPTIMAL"))</f>
        <v/>
      </c>
      <c r="M27" s="22" t="n">
        <v>780</v>
      </c>
      <c r="N27" s="22" t="n">
        <v>0</v>
      </c>
      <c r="O27" s="22" t="n">
        <v>845</v>
      </c>
    </row>
    <row r="28" ht="18" customHeight="1">
      <c r="A28" s="30" t="n">
        <v>116</v>
      </c>
      <c r="B28" s="13" t="inlineStr">
        <is>
          <t>Nike Men's Comfort 2 Slide</t>
        </is>
      </c>
      <c r="C28" s="13" t="inlineStr">
        <is>
          <t>Tennis &amp; Racquet</t>
        </is>
      </c>
      <c r="D28" s="13" t="inlineStr">
        <is>
          <t>Fitness</t>
        </is>
      </c>
      <c r="E28" s="17" t="n">
        <v>44.99000168</v>
      </c>
      <c r="F28" s="30" t="inlineStr">
        <is>
          <t>CY</t>
        </is>
      </c>
      <c r="G28" s="16" t="n">
        <v>3.71</v>
      </c>
      <c r="H28" s="16" t="n">
        <v>4.26</v>
      </c>
      <c r="I28" s="14" t="n">
        <v>12</v>
      </c>
      <c r="J28" s="14" t="n">
        <v>28</v>
      </c>
      <c r="K28" s="14" t="n">
        <v>12</v>
      </c>
      <c r="L28" s="61">
        <f>IF(K28&lt;J28, "⚠️ REORDER IMMEDIATELY", IF(K28&gt;2.2*J28, "📦 OVERSTOCKED", "✅ OPTIMAL"))</f>
        <v/>
      </c>
      <c r="M28" s="17" t="n">
        <v>539.88</v>
      </c>
      <c r="N28" s="17" t="n">
        <v>0</v>
      </c>
      <c r="O28" s="17" t="n">
        <v>719.84</v>
      </c>
    </row>
    <row r="29" ht="18" customHeight="1">
      <c r="A29" s="31" t="n">
        <v>306</v>
      </c>
      <c r="B29" s="18" t="inlineStr">
        <is>
          <t>Polar FT4 Heart Rate Monitor</t>
        </is>
      </c>
      <c r="C29" s="18" t="inlineStr">
        <is>
          <t>Kids' Golf Clubs</t>
        </is>
      </c>
      <c r="D29" s="18" t="inlineStr">
        <is>
          <t>Outdoors</t>
        </is>
      </c>
      <c r="E29" s="22" t="n">
        <v>89.98999786</v>
      </c>
      <c r="F29" s="31" t="inlineStr">
        <is>
          <t>CY</t>
        </is>
      </c>
      <c r="G29" s="21" t="n">
        <v>4.17</v>
      </c>
      <c r="H29" s="21" t="n">
        <v>4.18</v>
      </c>
      <c r="I29" s="19" t="n">
        <v>12</v>
      </c>
      <c r="J29" s="19" t="n">
        <v>30</v>
      </c>
      <c r="K29" s="19" t="n">
        <v>23</v>
      </c>
      <c r="L29" s="61">
        <f>IF(K29&lt;J29, "⚠️ REORDER IMMEDIATELY", IF(K29&gt;2.2*J29, "📦 OVERSTOCKED", "✅ OPTIMAL"))</f>
        <v/>
      </c>
      <c r="M29" s="22" t="n">
        <v>2069.77</v>
      </c>
      <c r="N29" s="22" t="n">
        <v>0</v>
      </c>
      <c r="O29" s="22" t="n">
        <v>629.9299999999999</v>
      </c>
    </row>
    <row r="30" ht="18" customHeight="1">
      <c r="A30" s="30" t="n">
        <v>311</v>
      </c>
      <c r="B30" s="13" t="inlineStr">
        <is>
          <t>Polar Loop Activity Tracker</t>
        </is>
      </c>
      <c r="C30" s="13" t="inlineStr">
        <is>
          <t>Kids' Golf Clubs</t>
        </is>
      </c>
      <c r="D30" s="13" t="inlineStr">
        <is>
          <t>Outdoors</t>
        </is>
      </c>
      <c r="E30" s="17" t="n">
        <v>109.9499969</v>
      </c>
      <c r="F30" s="30" t="inlineStr">
        <is>
          <t>CX</t>
        </is>
      </c>
      <c r="G30" s="16" t="n">
        <v>1.38</v>
      </c>
      <c r="H30" s="16" t="n">
        <v>4.18</v>
      </c>
      <c r="I30" s="14" t="n">
        <v>5</v>
      </c>
      <c r="J30" s="14" t="n">
        <v>11</v>
      </c>
      <c r="K30" s="14" t="n">
        <v>6</v>
      </c>
      <c r="L30" s="61">
        <f>IF(K30&lt;J30, "⚠️ REORDER IMMEDIATELY", IF(K30&gt;2.2*J30, "📦 OVERSTOCKED", "✅ OPTIMAL"))</f>
        <v/>
      </c>
      <c r="M30" s="17" t="n">
        <v>659.7</v>
      </c>
      <c r="N30" s="17" t="n">
        <v>0</v>
      </c>
      <c r="O30" s="17" t="n">
        <v>549.75</v>
      </c>
    </row>
    <row r="31" ht="18" customHeight="1">
      <c r="A31" s="31" t="n">
        <v>627</v>
      </c>
      <c r="B31" s="18" t="inlineStr">
        <is>
          <t>Under Armour Girls' Toddler Spine Surge Runni</t>
        </is>
      </c>
      <c r="C31" s="18" t="inlineStr">
        <is>
          <t>Shop By Sport</t>
        </is>
      </c>
      <c r="D31" s="18" t="inlineStr">
        <is>
          <t>Golf</t>
        </is>
      </c>
      <c r="E31" s="22" t="n">
        <v>39.99000168</v>
      </c>
      <c r="F31" s="31" t="inlineStr">
        <is>
          <t>BX</t>
        </is>
      </c>
      <c r="G31" s="21" t="n">
        <v>31.55</v>
      </c>
      <c r="H31" s="21" t="n">
        <v>4</v>
      </c>
      <c r="I31" s="19" t="n">
        <v>82</v>
      </c>
      <c r="J31" s="19" t="n">
        <v>209</v>
      </c>
      <c r="K31" s="19" t="n">
        <v>197</v>
      </c>
      <c r="L31" s="61">
        <f>IF(K31&lt;J31, "⚠️ REORDER IMMEDIATELY", IF(K31&gt;2.2*J31, "📦 OVERSTOCKED", "✅ OPTIMAL"))</f>
        <v/>
      </c>
      <c r="M31" s="22" t="n">
        <v>7878.03</v>
      </c>
      <c r="N31" s="22" t="n">
        <v>0</v>
      </c>
      <c r="O31" s="22" t="n">
        <v>479.88</v>
      </c>
    </row>
    <row r="32" ht="18" customHeight="1">
      <c r="A32" s="30" t="n">
        <v>249</v>
      </c>
      <c r="B32" s="13" t="inlineStr">
        <is>
          <t>Under Armour Women's Micro G Skulpt Running S</t>
        </is>
      </c>
      <c r="C32" s="13" t="inlineStr">
        <is>
          <t>Boxing &amp; MMA</t>
        </is>
      </c>
      <c r="D32" s="13" t="inlineStr">
        <is>
          <t>Footwear</t>
        </is>
      </c>
      <c r="E32" s="17" t="n">
        <v>54.97000122</v>
      </c>
      <c r="F32" s="30" t="inlineStr">
        <is>
          <t>CY</t>
        </is>
      </c>
      <c r="G32" s="16" t="n">
        <v>3.59</v>
      </c>
      <c r="H32" s="16" t="n">
        <v>4.13</v>
      </c>
      <c r="I32" s="14" t="n">
        <v>11</v>
      </c>
      <c r="J32" s="14" t="n">
        <v>26</v>
      </c>
      <c r="K32" s="14" t="n">
        <v>18</v>
      </c>
      <c r="L32" s="61">
        <f>IF(K32&lt;J32, "⚠️ REORDER IMMEDIATELY", IF(K32&gt;2.2*J32, "📦 OVERSTOCKED", "✅ OPTIMAL"))</f>
        <v/>
      </c>
      <c r="M32" s="17" t="n">
        <v>989.46</v>
      </c>
      <c r="N32" s="17" t="n">
        <v>0</v>
      </c>
      <c r="O32" s="17" t="n">
        <v>439.76</v>
      </c>
    </row>
    <row r="33" ht="18" customHeight="1">
      <c r="A33" s="31" t="n">
        <v>44</v>
      </c>
      <c r="B33" s="18" t="inlineStr">
        <is>
          <t>adidas Men's F10 Messi TRX FG Soccer Cleat</t>
        </is>
      </c>
      <c r="C33" s="18" t="inlineStr">
        <is>
          <t>Baseball &amp; Softball</t>
        </is>
      </c>
      <c r="D33" s="18" t="inlineStr">
        <is>
          <t>Fitness</t>
        </is>
      </c>
      <c r="E33" s="22" t="n">
        <v>59.99000168</v>
      </c>
      <c r="F33" s="31" t="inlineStr">
        <is>
          <t>BY</t>
        </is>
      </c>
      <c r="G33" s="21" t="n">
        <v>3.6</v>
      </c>
      <c r="H33" s="21" t="n">
        <v>3.9</v>
      </c>
      <c r="I33" s="19" t="n">
        <v>11</v>
      </c>
      <c r="J33" s="19" t="n">
        <v>26</v>
      </c>
      <c r="K33" s="19" t="n">
        <v>19</v>
      </c>
      <c r="L33" s="61">
        <f>IF(K33&lt;J33, "⚠️ REORDER IMMEDIATELY", IF(K33&gt;2.2*J33, "📦 OVERSTOCKED", "✅ OPTIMAL"))</f>
        <v/>
      </c>
      <c r="M33" s="22" t="n">
        <v>1139.81</v>
      </c>
      <c r="N33" s="22" t="n">
        <v>0</v>
      </c>
      <c r="O33" s="22" t="n">
        <v>419.93</v>
      </c>
    </row>
    <row r="34" ht="18" customHeight="1">
      <c r="A34" s="30" t="n">
        <v>825</v>
      </c>
      <c r="B34" s="13" t="inlineStr">
        <is>
          <t>Bridgestone e6 Straight Distance NFL Tennesse</t>
        </is>
      </c>
      <c r="C34" s="13" t="inlineStr">
        <is>
          <t>Electronics</t>
        </is>
      </c>
      <c r="D34" s="13" t="inlineStr">
        <is>
          <t>Outdoors</t>
        </is>
      </c>
      <c r="E34" s="17" t="n">
        <v>31.98999977</v>
      </c>
      <c r="F34" s="30" t="inlineStr">
        <is>
          <t>CY</t>
        </is>
      </c>
      <c r="G34" s="16" t="n">
        <v>3.68</v>
      </c>
      <c r="H34" s="16" t="n">
        <v>4.1</v>
      </c>
      <c r="I34" s="14" t="n">
        <v>11</v>
      </c>
      <c r="J34" s="14" t="n">
        <v>27</v>
      </c>
      <c r="K34" s="14" t="n">
        <v>15</v>
      </c>
      <c r="L34" s="61">
        <f>IF(K34&lt;J34, "⚠️ REORDER IMMEDIATELY", IF(K34&gt;2.2*J34, "📦 OVERSTOCKED", "✅ OPTIMAL"))</f>
        <v/>
      </c>
      <c r="M34" s="17" t="n">
        <v>479.85</v>
      </c>
      <c r="N34" s="17" t="n">
        <v>0</v>
      </c>
      <c r="O34" s="17" t="n">
        <v>383.88</v>
      </c>
    </row>
    <row r="35" ht="18" customHeight="1">
      <c r="A35" s="31" t="n">
        <v>885</v>
      </c>
      <c r="B35" s="18" t="inlineStr">
        <is>
          <t>Team Golf St. Louis Cardinals Putter Grip</t>
        </is>
      </c>
      <c r="C35" s="18" t="inlineStr">
        <is>
          <t>Accessories</t>
        </is>
      </c>
      <c r="D35" s="18" t="inlineStr">
        <is>
          <t>Outdoors</t>
        </is>
      </c>
      <c r="E35" s="22" t="n">
        <v>24.98999977</v>
      </c>
      <c r="F35" s="31" t="inlineStr">
        <is>
          <t>CY</t>
        </is>
      </c>
      <c r="G35" s="21" t="n">
        <v>3.76</v>
      </c>
      <c r="H35" s="21" t="n">
        <v>4</v>
      </c>
      <c r="I35" s="19" t="n">
        <v>12</v>
      </c>
      <c r="J35" s="19" t="n">
        <v>28</v>
      </c>
      <c r="K35" s="19" t="n">
        <v>15</v>
      </c>
      <c r="L35" s="61">
        <f>IF(K35&lt;J35, "⚠️ REORDER IMMEDIATELY", IF(K35&gt;2.2*J35, "📦 OVERSTOCKED", "✅ OPTIMAL"))</f>
        <v/>
      </c>
      <c r="M35" s="22" t="n">
        <v>374.85</v>
      </c>
      <c r="N35" s="22" t="n">
        <v>0</v>
      </c>
      <c r="O35" s="22" t="n">
        <v>324.87</v>
      </c>
    </row>
    <row r="36" ht="18" customHeight="1">
      <c r="A36" s="30" t="n">
        <v>835</v>
      </c>
      <c r="B36" s="13" t="inlineStr">
        <is>
          <t>Bridgestone e6 Straight Distance NFL Carolina</t>
        </is>
      </c>
      <c r="C36" s="13" t="inlineStr">
        <is>
          <t>Electronics</t>
        </is>
      </c>
      <c r="D36" s="13" t="inlineStr">
        <is>
          <t>Outdoors</t>
        </is>
      </c>
      <c r="E36" s="17" t="n">
        <v>31.98999977</v>
      </c>
      <c r="F36" s="30" t="inlineStr">
        <is>
          <t>CY</t>
        </is>
      </c>
      <c r="G36" s="16" t="n">
        <v>3.58</v>
      </c>
      <c r="H36" s="16" t="n">
        <v>3.99</v>
      </c>
      <c r="I36" s="14" t="n">
        <v>11</v>
      </c>
      <c r="J36" s="14" t="n">
        <v>26</v>
      </c>
      <c r="K36" s="14" t="n">
        <v>17</v>
      </c>
      <c r="L36" s="61">
        <f>IF(K36&lt;J36, "⚠️ REORDER IMMEDIATELY", IF(K36&gt;2.2*J36, "📦 OVERSTOCKED", "✅ OPTIMAL"))</f>
        <v/>
      </c>
      <c r="M36" s="17" t="n">
        <v>543.83</v>
      </c>
      <c r="N36" s="17" t="n">
        <v>0</v>
      </c>
      <c r="O36" s="17" t="n">
        <v>287.91</v>
      </c>
    </row>
    <row r="37" ht="18" customHeight="1">
      <c r="A37" s="31" t="n">
        <v>810</v>
      </c>
      <c r="B37" s="18" t="inlineStr">
        <is>
          <t>Glove It Women's Mod Oval Golf Glove</t>
        </is>
      </c>
      <c r="C37" s="18" t="inlineStr">
        <is>
          <t>Golf Balls</t>
        </is>
      </c>
      <c r="D37" s="18" t="inlineStr">
        <is>
          <t>Outdoors</t>
        </is>
      </c>
      <c r="E37" s="22" t="n">
        <v>19.98999977</v>
      </c>
      <c r="F37" s="31" t="inlineStr">
        <is>
          <t>CY</t>
        </is>
      </c>
      <c r="G37" s="21" t="n">
        <v>3.27</v>
      </c>
      <c r="H37" s="21" t="n">
        <v>3.96</v>
      </c>
      <c r="I37" s="19" t="n">
        <v>10</v>
      </c>
      <c r="J37" s="19" t="n">
        <v>23</v>
      </c>
      <c r="K37" s="19" t="n">
        <v>9</v>
      </c>
      <c r="L37" s="61">
        <f>IF(K37&lt;J37, "⚠️ REORDER IMMEDIATELY", IF(K37&gt;2.2*J37, "📦 OVERSTOCKED", "✅ OPTIMAL"))</f>
        <v/>
      </c>
      <c r="M37" s="22" t="n">
        <v>179.91</v>
      </c>
      <c r="N37" s="22" t="n">
        <v>0</v>
      </c>
      <c r="O37" s="22" t="n">
        <v>279.86</v>
      </c>
    </row>
    <row r="38" ht="18" customHeight="1">
      <c r="A38" s="30" t="n">
        <v>567</v>
      </c>
      <c r="B38" s="13" t="inlineStr">
        <is>
          <t>adidas Men's Germany Black Crest Away Tee</t>
        </is>
      </c>
      <c r="C38" s="13" t="inlineStr">
        <is>
          <t>Girls' Apparel</t>
        </is>
      </c>
      <c r="D38" s="13" t="inlineStr">
        <is>
          <t>Golf</t>
        </is>
      </c>
      <c r="E38" s="17" t="n">
        <v>25</v>
      </c>
      <c r="F38" s="30" t="inlineStr">
        <is>
          <t>CY</t>
        </is>
      </c>
      <c r="G38" s="16" t="n">
        <v>3.53</v>
      </c>
      <c r="H38" s="16" t="n">
        <v>3.99</v>
      </c>
      <c r="I38" s="14" t="n">
        <v>12</v>
      </c>
      <c r="J38" s="14" t="n">
        <v>27</v>
      </c>
      <c r="K38" s="14" t="n">
        <v>18</v>
      </c>
      <c r="L38" s="61">
        <f>IF(K38&lt;J38, "⚠️ REORDER IMMEDIATELY", IF(K38&gt;2.2*J38, "📦 OVERSTOCKED", "✅ OPTIMAL"))</f>
        <v/>
      </c>
      <c r="M38" s="17" t="n">
        <v>450</v>
      </c>
      <c r="N38" s="17" t="n">
        <v>0</v>
      </c>
      <c r="O38" s="17" t="n">
        <v>225</v>
      </c>
    </row>
    <row r="39" ht="18" customHeight="1">
      <c r="A39" s="31" t="n">
        <v>278</v>
      </c>
      <c r="B39" s="18" t="inlineStr">
        <is>
          <t>Under Armour Men's Compression EV SL Slide</t>
        </is>
      </c>
      <c r="C39" s="18" t="inlineStr">
        <is>
          <t>Electronics</t>
        </is>
      </c>
      <c r="D39" s="18" t="inlineStr">
        <is>
          <t>Footwear</t>
        </is>
      </c>
      <c r="E39" s="22" t="n">
        <v>44.99000168</v>
      </c>
      <c r="F39" s="31" t="inlineStr">
        <is>
          <t>CY</t>
        </is>
      </c>
      <c r="G39" s="21" t="n">
        <v>3.46</v>
      </c>
      <c r="H39" s="21" t="n">
        <v>3.99</v>
      </c>
      <c r="I39" s="19" t="n">
        <v>11</v>
      </c>
      <c r="J39" s="19" t="n">
        <v>25</v>
      </c>
      <c r="K39" s="19" t="n">
        <v>20</v>
      </c>
      <c r="L39" s="61">
        <f>IF(K39&lt;J39, "⚠️ REORDER IMMEDIATELY", IF(K39&gt;2.2*J39, "📦 OVERSTOCKED", "✅ OPTIMAL"))</f>
        <v/>
      </c>
      <c r="M39" s="22" t="n">
        <v>899.8</v>
      </c>
      <c r="N39" s="22" t="n">
        <v>0</v>
      </c>
      <c r="O39" s="22" t="n">
        <v>224.95</v>
      </c>
    </row>
    <row r="40" ht="18" customHeight="1">
      <c r="A40" s="30" t="n">
        <v>666</v>
      </c>
      <c r="B40" s="13" t="inlineStr">
        <is>
          <t>Merrell Men's All Out Flash Trail Running Sho</t>
        </is>
      </c>
      <c r="C40" s="13" t="inlineStr">
        <is>
          <t>Men's Golf Clubs</t>
        </is>
      </c>
      <c r="D40" s="13" t="inlineStr">
        <is>
          <t>Outdoors</t>
        </is>
      </c>
      <c r="E40" s="17" t="n">
        <v>109.9899979</v>
      </c>
      <c r="F40" s="30" t="inlineStr">
        <is>
          <t>CX</t>
        </is>
      </c>
      <c r="G40" s="16" t="n">
        <v>1.29</v>
      </c>
      <c r="H40" s="16" t="n">
        <v>3.87</v>
      </c>
      <c r="I40" s="14" t="n">
        <v>4</v>
      </c>
      <c r="J40" s="14" t="n">
        <v>9</v>
      </c>
      <c r="K40" s="14" t="n">
        <v>7</v>
      </c>
      <c r="L40" s="61">
        <f>IF(K40&lt;J40, "⚠️ REORDER IMMEDIATELY", IF(K40&gt;2.2*J40, "📦 OVERSTOCKED", "✅ OPTIMAL"))</f>
        <v/>
      </c>
      <c r="M40" s="17" t="n">
        <v>769.9299999999999</v>
      </c>
      <c r="N40" s="17" t="n">
        <v>0</v>
      </c>
      <c r="O40" s="17" t="n">
        <v>219.98</v>
      </c>
    </row>
    <row r="41" ht="18" customHeight="1">
      <c r="A41" s="31" t="n">
        <v>725</v>
      </c>
      <c r="B41" s="18" t="inlineStr">
        <is>
          <t>LIJA Women's Button Golf Dress</t>
        </is>
      </c>
      <c r="C41" s="18" t="inlineStr">
        <is>
          <t>Golf Shoes</t>
        </is>
      </c>
      <c r="D41" s="18" t="inlineStr">
        <is>
          <t>Outdoors</t>
        </is>
      </c>
      <c r="E41" s="22" t="n">
        <v>108</v>
      </c>
      <c r="F41" s="31" t="inlineStr">
        <is>
          <t>CY</t>
        </is>
      </c>
      <c r="G41" s="21" t="n">
        <v>1.27</v>
      </c>
      <c r="H41" s="21" t="n">
        <v>3.9</v>
      </c>
      <c r="I41" s="19" t="n">
        <v>4</v>
      </c>
      <c r="J41" s="19" t="n">
        <v>9</v>
      </c>
      <c r="K41" s="19" t="n">
        <v>7</v>
      </c>
      <c r="L41" s="61">
        <f>IF(K41&lt;J41, "⚠️ REORDER IMMEDIATELY", IF(K41&gt;2.2*J41, "📦 OVERSTOCKED", "✅ OPTIMAL"))</f>
        <v/>
      </c>
      <c r="M41" s="22" t="n">
        <v>756</v>
      </c>
      <c r="N41" s="22" t="n">
        <v>0</v>
      </c>
      <c r="O41" s="22" t="n">
        <v>216</v>
      </c>
    </row>
    <row r="42" ht="18" customHeight="1">
      <c r="A42" s="30" t="n">
        <v>778</v>
      </c>
      <c r="B42" s="13" t="inlineStr">
        <is>
          <t>Bag Boy Beverage Holder</t>
        </is>
      </c>
      <c r="C42" s="13" t="inlineStr">
        <is>
          <t>Golf Gloves</t>
        </is>
      </c>
      <c r="D42" s="13" t="inlineStr">
        <is>
          <t>Outdoors</t>
        </is>
      </c>
      <c r="E42" s="17" t="n">
        <v>24.98999977</v>
      </c>
      <c r="F42" s="30" t="inlineStr">
        <is>
          <t>CY</t>
        </is>
      </c>
      <c r="G42" s="16" t="n">
        <v>3.63</v>
      </c>
      <c r="H42" s="16" t="n">
        <v>3.96</v>
      </c>
      <c r="I42" s="14" t="n">
        <v>12</v>
      </c>
      <c r="J42" s="14" t="n">
        <v>27</v>
      </c>
      <c r="K42" s="14" t="n">
        <v>19</v>
      </c>
      <c r="L42" s="61">
        <f>IF(K42&lt;J42, "⚠️ REORDER IMMEDIATELY", IF(K42&gt;2.2*J42, "📦 OVERSTOCKED", "✅ OPTIMAL"))</f>
        <v/>
      </c>
      <c r="M42" s="17" t="n">
        <v>474.81</v>
      </c>
      <c r="N42" s="17" t="n">
        <v>0</v>
      </c>
      <c r="O42" s="17" t="n">
        <v>199.92</v>
      </c>
    </row>
    <row r="43" ht="18" customHeight="1">
      <c r="A43" s="31" t="n">
        <v>792</v>
      </c>
      <c r="B43" s="18" t="inlineStr">
        <is>
          <t>Hirzl Men's Hybrid Golf Glove</t>
        </is>
      </c>
      <c r="C43" s="18" t="inlineStr">
        <is>
          <t>Golf Balls</t>
        </is>
      </c>
      <c r="D43" s="18" t="inlineStr">
        <is>
          <t>Outdoors</t>
        </is>
      </c>
      <c r="E43" s="22" t="n">
        <v>14.98999977</v>
      </c>
      <c r="F43" s="31" t="inlineStr">
        <is>
          <t>CY</t>
        </is>
      </c>
      <c r="G43" s="21" t="n">
        <v>3.46</v>
      </c>
      <c r="H43" s="21" t="n">
        <v>3.96</v>
      </c>
      <c r="I43" s="19" t="n">
        <v>11</v>
      </c>
      <c r="J43" s="19" t="n">
        <v>25</v>
      </c>
      <c r="K43" s="19" t="n">
        <v>14</v>
      </c>
      <c r="L43" s="61">
        <f>IF(K43&lt;J43, "⚠️ REORDER IMMEDIATELY", IF(K43&gt;2.2*J43, "📦 OVERSTOCKED", "✅ OPTIMAL"))</f>
        <v/>
      </c>
      <c r="M43" s="22" t="n">
        <v>209.86</v>
      </c>
      <c r="N43" s="22" t="n">
        <v>0</v>
      </c>
      <c r="O43" s="22" t="n">
        <v>164.89</v>
      </c>
    </row>
    <row r="44" ht="18" customHeight="1">
      <c r="A44" s="30" t="n">
        <v>172</v>
      </c>
      <c r="B44" s="13" t="inlineStr">
        <is>
          <t>Nike Women's Tempo Shorts</t>
        </is>
      </c>
      <c r="C44" s="13" t="inlineStr">
        <is>
          <t>Cardio Equipment</t>
        </is>
      </c>
      <c r="D44" s="13" t="inlineStr">
        <is>
          <t>Footwear</t>
        </is>
      </c>
      <c r="E44" s="17" t="n">
        <v>30</v>
      </c>
      <c r="F44" s="30" t="inlineStr">
        <is>
          <t>CY</t>
        </is>
      </c>
      <c r="G44" s="16" t="n">
        <v>3.48</v>
      </c>
      <c r="H44" s="16" t="n">
        <v>4.01</v>
      </c>
      <c r="I44" s="14" t="n">
        <v>11</v>
      </c>
      <c r="J44" s="14" t="n">
        <v>25</v>
      </c>
      <c r="K44" s="14" t="n">
        <v>20</v>
      </c>
      <c r="L44" s="61">
        <f>IF(K44&lt;J44, "⚠️ REORDER IMMEDIATELY", IF(K44&gt;2.2*J44, "📦 OVERSTOCKED", "✅ OPTIMAL"))</f>
        <v/>
      </c>
      <c r="M44" s="17" t="n">
        <v>600</v>
      </c>
      <c r="N44" s="17" t="n">
        <v>0</v>
      </c>
      <c r="O44" s="17" t="n">
        <v>150</v>
      </c>
    </row>
    <row r="45" ht="18" customHeight="1">
      <c r="A45" s="31" t="n">
        <v>924</v>
      </c>
      <c r="B45" s="18" t="inlineStr">
        <is>
          <t>Glove It Urban Brick Golf Towel</t>
        </is>
      </c>
      <c r="C45" s="18" t="inlineStr">
        <is>
          <t>Trade-In</t>
        </is>
      </c>
      <c r="D45" s="18" t="inlineStr">
        <is>
          <t>Outdoors</t>
        </is>
      </c>
      <c r="E45" s="22" t="n">
        <v>15.98999977</v>
      </c>
      <c r="F45" s="31" t="inlineStr">
        <is>
          <t>CY</t>
        </is>
      </c>
      <c r="G45" s="21" t="n">
        <v>3.64</v>
      </c>
      <c r="H45" s="21" t="n">
        <v>3.96</v>
      </c>
      <c r="I45" s="19" t="n">
        <v>12</v>
      </c>
      <c r="J45" s="19" t="n">
        <v>27</v>
      </c>
      <c r="K45" s="19" t="n">
        <v>18</v>
      </c>
      <c r="L45" s="61">
        <f>IF(K45&lt;J45, "⚠️ REORDER IMMEDIATELY", IF(K45&gt;2.2*J45, "📦 OVERSTOCKED", "✅ OPTIMAL"))</f>
        <v/>
      </c>
      <c r="M45" s="22" t="n">
        <v>287.82</v>
      </c>
      <c r="N45" s="22" t="n">
        <v>0</v>
      </c>
      <c r="O45" s="22" t="n">
        <v>143.91</v>
      </c>
    </row>
    <row r="46" ht="18" customHeight="1">
      <c r="A46" s="30" t="n">
        <v>804</v>
      </c>
      <c r="B46" s="13" t="inlineStr">
        <is>
          <t>Glove It Women's Imperial Golf Glove</t>
        </is>
      </c>
      <c r="C46" s="13" t="inlineStr">
        <is>
          <t>Golf Balls</t>
        </is>
      </c>
      <c r="D46" s="13" t="inlineStr">
        <is>
          <t>Outdoors</t>
        </is>
      </c>
      <c r="E46" s="17" t="n">
        <v>19.98999977</v>
      </c>
      <c r="F46" s="30" t="inlineStr">
        <is>
          <t>CY</t>
        </is>
      </c>
      <c r="G46" s="16" t="n">
        <v>3.63</v>
      </c>
      <c r="H46" s="16" t="n">
        <v>3.96</v>
      </c>
      <c r="I46" s="14" t="n">
        <v>11</v>
      </c>
      <c r="J46" s="14" t="n">
        <v>26</v>
      </c>
      <c r="K46" s="14" t="n">
        <v>21</v>
      </c>
      <c r="L46" s="61">
        <f>IF(K46&lt;J46, "⚠️ REORDER IMMEDIATELY", IF(K46&gt;2.2*J46, "📦 OVERSTOCKED", "✅ OPTIMAL"))</f>
        <v/>
      </c>
      <c r="M46" s="17" t="n">
        <v>419.79</v>
      </c>
      <c r="N46" s="17" t="n">
        <v>0</v>
      </c>
      <c r="O46" s="17" t="n">
        <v>99.95</v>
      </c>
    </row>
    <row r="47" ht="18" customHeight="1">
      <c r="A47" s="31" t="n">
        <v>135</v>
      </c>
      <c r="B47" s="18" t="inlineStr">
        <is>
          <t>Nike Dri-FIT Crew Sock 6 Pack</t>
        </is>
      </c>
      <c r="C47" s="18" t="inlineStr">
        <is>
          <t>Hockey</t>
        </is>
      </c>
      <c r="D47" s="18" t="inlineStr">
        <is>
          <t>Fitness</t>
        </is>
      </c>
      <c r="E47" s="22" t="n">
        <v>22</v>
      </c>
      <c r="F47" s="31" t="inlineStr">
        <is>
          <t>CY</t>
        </is>
      </c>
      <c r="G47" s="21" t="n">
        <v>3.41</v>
      </c>
      <c r="H47" s="21" t="n">
        <v>3.96</v>
      </c>
      <c r="I47" s="19" t="n">
        <v>10</v>
      </c>
      <c r="J47" s="19" t="n">
        <v>24</v>
      </c>
      <c r="K47" s="19" t="n">
        <v>20</v>
      </c>
      <c r="L47" s="61">
        <f>IF(K47&lt;J47, "⚠️ REORDER IMMEDIATELY", IF(K47&gt;2.2*J47, "📦 OVERSTOCKED", "✅ OPTIMAL"))</f>
        <v/>
      </c>
      <c r="M47" s="22" t="n">
        <v>440</v>
      </c>
      <c r="N47" s="22" t="n">
        <v>0</v>
      </c>
      <c r="O47" s="22" t="n">
        <v>88</v>
      </c>
    </row>
    <row r="48" ht="18" customHeight="1">
      <c r="A48" s="30" t="n">
        <v>1350</v>
      </c>
      <c r="B48" s="13" t="inlineStr">
        <is>
          <t>Children's heaters</t>
        </is>
      </c>
      <c r="C48" s="13" t="inlineStr">
        <is>
          <t>Children's Clothing</t>
        </is>
      </c>
      <c r="D48" s="13" t="inlineStr">
        <is>
          <t>Apparel</t>
        </is>
      </c>
      <c r="E48" s="17" t="n">
        <v>357.1000061</v>
      </c>
      <c r="F48" s="30" t="inlineStr">
        <is>
          <t>BZ</t>
        </is>
      </c>
      <c r="G48" s="16" t="n">
        <v>54.33</v>
      </c>
      <c r="H48" s="16" t="n">
        <v>4.01</v>
      </c>
      <c r="I48" s="14" t="n">
        <v>148</v>
      </c>
      <c r="J48" s="14" t="n">
        <v>366</v>
      </c>
      <c r="K48" s="14" t="n">
        <v>844</v>
      </c>
      <c r="L48" s="62">
        <f>IF(K48&lt;J48, "⚠️ REORDER IMMEDIATELY", IF(K48&gt;2.2*J48, "📦 OVERSTOCKED", "✅ OPTIMAL"))</f>
        <v/>
      </c>
      <c r="M48" s="17" t="n">
        <v>301392.41</v>
      </c>
      <c r="N48" s="17" t="n">
        <v>39995.2</v>
      </c>
      <c r="O48" s="17" t="n">
        <v>0</v>
      </c>
    </row>
    <row r="49" ht="18" customHeight="1">
      <c r="A49" s="31" t="n">
        <v>1358</v>
      </c>
      <c r="B49" s="18" t="inlineStr">
        <is>
          <t>Rock music</t>
        </is>
      </c>
      <c r="C49" s="18" t="inlineStr">
        <is>
          <t>Music</t>
        </is>
      </c>
      <c r="D49" s="18" t="inlineStr">
        <is>
          <t>Discs Shop</t>
        </is>
      </c>
      <c r="E49" s="22" t="n">
        <v>260.6499939</v>
      </c>
      <c r="F49" s="31" t="inlineStr">
        <is>
          <t>BZ</t>
        </is>
      </c>
      <c r="G49" s="21" t="n">
        <v>48.22</v>
      </c>
      <c r="H49" s="21" t="n">
        <v>4.02</v>
      </c>
      <c r="I49" s="19" t="n">
        <v>148</v>
      </c>
      <c r="J49" s="19" t="n">
        <v>343</v>
      </c>
      <c r="K49" s="19" t="n">
        <v>807</v>
      </c>
      <c r="L49" s="62">
        <f>IF(K49&lt;J49, "⚠️ REORDER IMMEDIATELY", IF(K49&gt;2.2*J49, "📦 OVERSTOCKED", "✅ OPTIMAL"))</f>
        <v/>
      </c>
      <c r="M49" s="22" t="n">
        <v>210344.55</v>
      </c>
      <c r="N49" s="22" t="n">
        <v>31538.65</v>
      </c>
      <c r="O49" s="22" t="n">
        <v>0</v>
      </c>
    </row>
    <row r="50" ht="18" customHeight="1">
      <c r="A50" s="30" t="n">
        <v>1359</v>
      </c>
      <c r="B50" s="13" t="inlineStr">
        <is>
          <t>Adult dog supplies</t>
        </is>
      </c>
      <c r="C50" s="13" t="inlineStr">
        <is>
          <t>Pet Supplies</t>
        </is>
      </c>
      <c r="D50" s="13" t="inlineStr">
        <is>
          <t>Pet Shop</t>
        </is>
      </c>
      <c r="E50" s="17" t="n">
        <v>84.40000153</v>
      </c>
      <c r="F50" s="30" t="inlineStr">
        <is>
          <t>CZ</t>
        </is>
      </c>
      <c r="G50" s="16" t="n">
        <v>54.67</v>
      </c>
      <c r="H50" s="16" t="n">
        <v>4.06</v>
      </c>
      <c r="I50" s="14" t="n">
        <v>145</v>
      </c>
      <c r="J50" s="14" t="n">
        <v>367</v>
      </c>
      <c r="K50" s="14" t="n">
        <v>770</v>
      </c>
      <c r="L50" s="63">
        <f>IF(K50&lt;J50, "⚠️ REORDER IMMEDIATELY", IF(K50&gt;2.2*J50, "📦 OVERSTOCKED", "✅ OPTIMAL"))</f>
        <v/>
      </c>
      <c r="M50" s="17" t="n">
        <v>64988</v>
      </c>
      <c r="N50" s="17" t="n">
        <v>3038.4</v>
      </c>
      <c r="O50" s="17" t="n">
        <v>0</v>
      </c>
    </row>
    <row r="51" ht="18" customHeight="1">
      <c r="A51" s="31" t="n">
        <v>365</v>
      </c>
      <c r="B51" s="18" t="inlineStr">
        <is>
          <t>Perfect Fitness Perfect Rip Deck</t>
        </is>
      </c>
      <c r="C51" s="18" t="inlineStr">
        <is>
          <t>Cleats</t>
        </is>
      </c>
      <c r="D51" s="18" t="inlineStr">
        <is>
          <t>Apparel</t>
        </is>
      </c>
      <c r="E51" s="22" t="n">
        <v>59.99000168</v>
      </c>
      <c r="F51" s="31" t="inlineStr">
        <is>
          <t>AX</t>
        </is>
      </c>
      <c r="G51" s="21" t="n">
        <v>73.26000000000001</v>
      </c>
      <c r="H51" s="21" t="n">
        <v>4</v>
      </c>
      <c r="I51" s="19" t="n">
        <v>180</v>
      </c>
      <c r="J51" s="19" t="n">
        <v>474</v>
      </c>
      <c r="K51" s="19" t="n">
        <v>994</v>
      </c>
      <c r="L51" s="63">
        <f>IF(K51&lt;J51, "⚠️ REORDER IMMEDIATELY", IF(K51&gt;2.2*J51, "📦 OVERSTOCKED", "✅ OPTIMAL"))</f>
        <v/>
      </c>
      <c r="M51" s="22" t="n">
        <v>59630.06</v>
      </c>
      <c r="N51" s="22" t="n">
        <v>2759.54</v>
      </c>
      <c r="O51" s="22" t="n">
        <v>0</v>
      </c>
    </row>
    <row r="52" ht="18" customHeight="1">
      <c r="A52" s="30" t="n">
        <v>364</v>
      </c>
      <c r="B52" s="13" t="inlineStr">
        <is>
          <t>Total Gym 1400</t>
        </is>
      </c>
      <c r="C52" s="13" t="inlineStr">
        <is>
          <t>Cleats</t>
        </is>
      </c>
      <c r="D52" s="13" t="inlineStr">
        <is>
          <t>Apparel</t>
        </is>
      </c>
      <c r="E52" s="17" t="n">
        <v>299.9899902</v>
      </c>
      <c r="F52" s="30" t="inlineStr">
        <is>
          <t>CZ</t>
        </is>
      </c>
      <c r="G52" s="16" t="n">
        <v>2.4</v>
      </c>
      <c r="H52" s="16" t="n">
        <v>3.97</v>
      </c>
      <c r="I52" s="14" t="n">
        <v>8</v>
      </c>
      <c r="J52" s="14" t="n">
        <v>18</v>
      </c>
      <c r="K52" s="14" t="n">
        <v>44</v>
      </c>
      <c r="L52" s="62">
        <f>IF(K52&lt;J52, "⚠️ REORDER IMMEDIATELY", IF(K52&gt;2.2*J52, "📦 OVERSTOCKED", "✅ OPTIMAL"))</f>
        <v/>
      </c>
      <c r="M52" s="17" t="n">
        <v>13199.56</v>
      </c>
      <c r="N52" s="17" t="n">
        <v>2399.92</v>
      </c>
      <c r="O52" s="17" t="n">
        <v>0</v>
      </c>
    </row>
    <row r="53" ht="18" customHeight="1">
      <c r="A53" s="31" t="n">
        <v>127</v>
      </c>
      <c r="B53" s="18" t="inlineStr">
        <is>
          <t>Stiga Master Series ST3100 Competition Indoor</t>
        </is>
      </c>
      <c r="C53" s="18" t="inlineStr">
        <is>
          <t>Hockey</t>
        </is>
      </c>
      <c r="D53" s="18" t="inlineStr">
        <is>
          <t>Fitness</t>
        </is>
      </c>
      <c r="E53" s="22" t="n">
        <v>329.9899902</v>
      </c>
      <c r="F53" s="31" t="inlineStr">
        <is>
          <t>CZ</t>
        </is>
      </c>
      <c r="G53" s="21" t="n">
        <v>2.08</v>
      </c>
      <c r="H53" s="21" t="n">
        <v>3.78</v>
      </c>
      <c r="I53" s="19" t="n">
        <v>7</v>
      </c>
      <c r="J53" s="19" t="n">
        <v>15</v>
      </c>
      <c r="K53" s="19" t="n">
        <v>37</v>
      </c>
      <c r="L53" s="62">
        <f>IF(K53&lt;J53, "⚠️ REORDER IMMEDIATELY", IF(K53&gt;2.2*J53, "📦 OVERSTOCKED", "✅ OPTIMAL"))</f>
        <v/>
      </c>
      <c r="M53" s="22" t="n">
        <v>12209.63</v>
      </c>
      <c r="N53" s="22" t="n">
        <v>2309.93</v>
      </c>
      <c r="O53" s="22" t="n">
        <v>0</v>
      </c>
    </row>
    <row r="54" ht="18" customHeight="1">
      <c r="A54" s="30" t="n">
        <v>1362</v>
      </c>
      <c r="B54" s="13" t="inlineStr">
        <is>
          <t>Fighting video games</t>
        </is>
      </c>
      <c r="C54" s="13" t="inlineStr">
        <is>
          <t>Video Games</t>
        </is>
      </c>
      <c r="D54" s="13" t="inlineStr">
        <is>
          <t>Discs Shop</t>
        </is>
      </c>
      <c r="E54" s="17" t="n">
        <v>39.75</v>
      </c>
      <c r="F54" s="30" t="inlineStr">
        <is>
          <t>CY</t>
        </is>
      </c>
      <c r="G54" s="16" t="n">
        <v>55.87</v>
      </c>
      <c r="H54" s="16" t="n">
        <v>4.03</v>
      </c>
      <c r="I54" s="14" t="n">
        <v>149</v>
      </c>
      <c r="J54" s="14" t="n">
        <v>375</v>
      </c>
      <c r="K54" s="14" t="n">
        <v>783</v>
      </c>
      <c r="L54" s="63">
        <f>IF(K54&lt;J54, "⚠️ REORDER IMMEDIATELY", IF(K54&gt;2.2*J54, "📦 OVERSTOCKED", "✅ OPTIMAL"))</f>
        <v/>
      </c>
      <c r="M54" s="17" t="n">
        <v>31124.25</v>
      </c>
      <c r="N54" s="17" t="n">
        <v>1311.75</v>
      </c>
      <c r="O54" s="17" t="n">
        <v>0</v>
      </c>
    </row>
    <row r="55" ht="18" customHeight="1">
      <c r="A55" s="31" t="n">
        <v>845</v>
      </c>
      <c r="B55" s="18" t="inlineStr">
        <is>
          <t>Garmin Approach S4 Golf GPS Watch</t>
        </is>
      </c>
      <c r="C55" s="18" t="inlineStr">
        <is>
          <t>Kids' Golf Clubs</t>
        </is>
      </c>
      <c r="D55" s="18" t="inlineStr">
        <is>
          <t>Outdoors</t>
        </is>
      </c>
      <c r="E55" s="22" t="n">
        <v>299.9899902</v>
      </c>
      <c r="F55" s="31" t="inlineStr">
        <is>
          <t>CZ</t>
        </is>
      </c>
      <c r="G55" s="21" t="n">
        <v>2.4</v>
      </c>
      <c r="H55" s="21" t="n">
        <v>4.18</v>
      </c>
      <c r="I55" s="19" t="n">
        <v>7</v>
      </c>
      <c r="J55" s="19" t="n">
        <v>18</v>
      </c>
      <c r="K55" s="19" t="n">
        <v>40</v>
      </c>
      <c r="L55" s="62">
        <f>IF(K55&lt;J55, "⚠️ REORDER IMMEDIATELY", IF(K55&gt;2.2*J55, "📦 OVERSTOCKED", "✅ OPTIMAL"))</f>
        <v/>
      </c>
      <c r="M55" s="22" t="n">
        <v>11999.6</v>
      </c>
      <c r="N55" s="22" t="n">
        <v>1199.96</v>
      </c>
      <c r="O55" s="22" t="n">
        <v>0</v>
      </c>
    </row>
    <row r="56" ht="18" customHeight="1">
      <c r="A56" s="30" t="n">
        <v>359</v>
      </c>
      <c r="B56" s="13" t="inlineStr">
        <is>
          <t>Nike Men's Free TR 5.0 TB Training Shoe</t>
        </is>
      </c>
      <c r="C56" s="13" t="inlineStr">
        <is>
          <t>As Seen on  TV!</t>
        </is>
      </c>
      <c r="D56" s="13" t="inlineStr">
        <is>
          <t>Footwear</t>
        </is>
      </c>
      <c r="E56" s="17" t="n">
        <v>99.98999786</v>
      </c>
      <c r="F56" s="30" t="inlineStr">
        <is>
          <t>CX</t>
        </is>
      </c>
      <c r="G56" s="16" t="n">
        <v>3.81</v>
      </c>
      <c r="H56" s="16" t="n">
        <v>3.84</v>
      </c>
      <c r="I56" s="14" t="n">
        <v>13</v>
      </c>
      <c r="J56" s="14" t="n">
        <v>28</v>
      </c>
      <c r="K56" s="14" t="n">
        <v>67</v>
      </c>
      <c r="L56" s="62">
        <f>IF(K56&lt;J56, "⚠️ REORDER IMMEDIATELY", IF(K56&gt;2.2*J56, "📦 OVERSTOCKED", "✅ OPTIMAL"))</f>
        <v/>
      </c>
      <c r="M56" s="17" t="n">
        <v>6699.33</v>
      </c>
      <c r="N56" s="17" t="n">
        <v>1099.89</v>
      </c>
      <c r="O56" s="17" t="n">
        <v>0</v>
      </c>
    </row>
    <row r="57" ht="18" customHeight="1">
      <c r="A57" s="31" t="n">
        <v>24</v>
      </c>
      <c r="B57" s="18" t="inlineStr">
        <is>
          <t>Elevation Training Mask 2.0</t>
        </is>
      </c>
      <c r="C57" s="18" t="inlineStr">
        <is>
          <t>Soccer</t>
        </is>
      </c>
      <c r="D57" s="18" t="inlineStr">
        <is>
          <t>Fitness</t>
        </is>
      </c>
      <c r="E57" s="22" t="n">
        <v>79.98999786</v>
      </c>
      <c r="F57" s="31" t="inlineStr">
        <is>
          <t>CX</t>
        </is>
      </c>
      <c r="G57" s="21" t="n">
        <v>4.12</v>
      </c>
      <c r="H57" s="21" t="n">
        <v>4.26</v>
      </c>
      <c r="I57" s="19" t="n">
        <v>13</v>
      </c>
      <c r="J57" s="19" t="n">
        <v>31</v>
      </c>
      <c r="K57" s="19" t="n">
        <v>74</v>
      </c>
      <c r="L57" s="62">
        <f>IF(K57&lt;J57, "⚠️ REORDER IMMEDIATELY", IF(K57&gt;2.2*J57, "📦 OVERSTOCKED", "✅ OPTIMAL"))</f>
        <v/>
      </c>
      <c r="M57" s="22" t="n">
        <v>5919.26</v>
      </c>
      <c r="N57" s="22" t="n">
        <v>959.88</v>
      </c>
      <c r="O57" s="22" t="n">
        <v>0</v>
      </c>
    </row>
    <row r="58" ht="18" customHeight="1">
      <c r="A58" s="30" t="n">
        <v>1361</v>
      </c>
      <c r="B58" s="13" t="inlineStr">
        <is>
          <t xml:space="preserve">Toys </t>
        </is>
      </c>
      <c r="C58" s="13" t="inlineStr">
        <is>
          <t>Toys</t>
        </is>
      </c>
      <c r="D58" s="13" t="inlineStr">
        <is>
          <t>Fan Shop</t>
        </is>
      </c>
      <c r="E58" s="17" t="n">
        <v>11.53999996</v>
      </c>
      <c r="F58" s="30" t="inlineStr">
        <is>
          <t>CY</t>
        </is>
      </c>
      <c r="G58" s="16" t="n">
        <v>48.09</v>
      </c>
      <c r="H58" s="16" t="n">
        <v>4.04</v>
      </c>
      <c r="I58" s="14" t="n">
        <v>142</v>
      </c>
      <c r="J58" s="14" t="n">
        <v>337</v>
      </c>
      <c r="K58" s="14" t="n">
        <v>752</v>
      </c>
      <c r="L58" s="62">
        <f>IF(K58&lt;J58, "⚠️ REORDER IMMEDIATELY", IF(K58&gt;2.2*J58, "📦 OVERSTOCKED", "✅ OPTIMAL"))</f>
        <v/>
      </c>
      <c r="M58" s="17" t="n">
        <v>8678.08</v>
      </c>
      <c r="N58" s="17" t="n">
        <v>900.12</v>
      </c>
      <c r="O58" s="17" t="n">
        <v>0</v>
      </c>
    </row>
    <row r="59" ht="18" customHeight="1">
      <c r="A59" s="31" t="n">
        <v>61</v>
      </c>
      <c r="B59" s="18" t="inlineStr">
        <is>
          <t>Diamondback Girls' Clarity 24 Hybrid Bike 201</t>
        </is>
      </c>
      <c r="C59" s="18" t="inlineStr">
        <is>
          <t>Basketball</t>
        </is>
      </c>
      <c r="D59" s="18" t="inlineStr">
        <is>
          <t>Fitness</t>
        </is>
      </c>
      <c r="E59" s="22" t="n">
        <v>299.9899902</v>
      </c>
      <c r="F59" s="31" t="inlineStr">
        <is>
          <t>CZ</t>
        </is>
      </c>
      <c r="G59" s="21" t="n">
        <v>1.75</v>
      </c>
      <c r="H59" s="21" t="n">
        <v>3.63</v>
      </c>
      <c r="I59" s="19" t="n">
        <v>6</v>
      </c>
      <c r="J59" s="19" t="n">
        <v>13</v>
      </c>
      <c r="K59" s="19" t="n">
        <v>29</v>
      </c>
      <c r="L59" s="62">
        <f>IF(K59&lt;J59, "⚠️ REORDER IMMEDIATELY", IF(K59&gt;2.2*J59, "📦 OVERSTOCKED", "✅ OPTIMAL"))</f>
        <v/>
      </c>
      <c r="M59" s="22" t="n">
        <v>8699.709999999999</v>
      </c>
      <c r="N59" s="22" t="n">
        <v>899.97</v>
      </c>
      <c r="O59" s="22" t="n">
        <v>0</v>
      </c>
    </row>
    <row r="60" ht="18" customHeight="1">
      <c r="A60" s="30" t="n">
        <v>671</v>
      </c>
      <c r="B60" s="13" t="inlineStr">
        <is>
          <t>Cleveland Golf Collegiate My Custom Wedge 588</t>
        </is>
      </c>
      <c r="C60" s="13" t="inlineStr">
        <is>
          <t>Women's Golf Clubs</t>
        </is>
      </c>
      <c r="D60" s="13" t="inlineStr">
        <is>
          <t>Outdoors</t>
        </is>
      </c>
      <c r="E60" s="17" t="n">
        <v>209.9900055</v>
      </c>
      <c r="F60" s="30" t="inlineStr">
        <is>
          <t>CX</t>
        </is>
      </c>
      <c r="G60" s="16" t="n">
        <v>1.2</v>
      </c>
      <c r="H60" s="16" t="n">
        <v>3.89</v>
      </c>
      <c r="I60" s="14" t="n">
        <v>4</v>
      </c>
      <c r="J60" s="14" t="n">
        <v>9</v>
      </c>
      <c r="K60" s="14" t="n">
        <v>22</v>
      </c>
      <c r="L60" s="62">
        <f>IF(K60&lt;J60, "⚠️ REORDER IMMEDIATELY", IF(K60&gt;2.2*J60, "📦 OVERSTOCKED", "✅ OPTIMAL"))</f>
        <v/>
      </c>
      <c r="M60" s="17" t="n">
        <v>4619.78</v>
      </c>
      <c r="N60" s="17" t="n">
        <v>839.96</v>
      </c>
      <c r="O60" s="17" t="n">
        <v>0</v>
      </c>
    </row>
    <row r="61" ht="18" customHeight="1">
      <c r="A61" s="31" t="n">
        <v>691</v>
      </c>
      <c r="B61" s="18" t="inlineStr">
        <is>
          <t>MDGolf Pittsburgh Penguins Putter</t>
        </is>
      </c>
      <c r="C61" s="18" t="inlineStr">
        <is>
          <t>Women's Golf Clubs</t>
        </is>
      </c>
      <c r="D61" s="18" t="inlineStr">
        <is>
          <t>Outdoors</t>
        </is>
      </c>
      <c r="E61" s="22" t="n">
        <v>79.98999786</v>
      </c>
      <c r="F61" s="31" t="inlineStr">
        <is>
          <t>CY</t>
        </is>
      </c>
      <c r="G61" s="21" t="n">
        <v>3.3</v>
      </c>
      <c r="H61" s="21" t="n">
        <v>3.89</v>
      </c>
      <c r="I61" s="19" t="n">
        <v>12</v>
      </c>
      <c r="J61" s="19" t="n">
        <v>25</v>
      </c>
      <c r="K61" s="19" t="n">
        <v>59</v>
      </c>
      <c r="L61" s="62">
        <f>IF(K61&lt;J61, "⚠️ REORDER IMMEDIATELY", IF(K61&gt;2.2*J61, "📦 OVERSTOCKED", "✅ OPTIMAL"))</f>
        <v/>
      </c>
      <c r="M61" s="22" t="n">
        <v>4719.41</v>
      </c>
      <c r="N61" s="22" t="n">
        <v>719.91</v>
      </c>
      <c r="O61" s="22" t="n">
        <v>0</v>
      </c>
    </row>
    <row r="62" ht="18" customHeight="1">
      <c r="A62" s="30" t="n">
        <v>625</v>
      </c>
      <c r="B62" s="13" t="inlineStr">
        <is>
          <t>Nike Men's Kobe IX Elite Low Basketball Shoe</t>
        </is>
      </c>
      <c r="C62" s="13" t="inlineStr">
        <is>
          <t>Shop By Sport</t>
        </is>
      </c>
      <c r="D62" s="13" t="inlineStr">
        <is>
          <t>Golf</t>
        </is>
      </c>
      <c r="E62" s="17" t="n">
        <v>199.9900055</v>
      </c>
      <c r="F62" s="30" t="inlineStr">
        <is>
          <t>CY</t>
        </is>
      </c>
      <c r="G62" s="16" t="n">
        <v>1.15</v>
      </c>
      <c r="H62" s="16" t="n">
        <v>4</v>
      </c>
      <c r="I62" s="14" t="n">
        <v>3</v>
      </c>
      <c r="J62" s="14" t="n">
        <v>8</v>
      </c>
      <c r="K62" s="14" t="n">
        <v>18</v>
      </c>
      <c r="L62" s="62">
        <f>IF(K62&lt;J62, "⚠️ REORDER IMMEDIATELY", IF(K62&gt;2.2*J62, "📦 OVERSTOCKED", "✅ OPTIMAL"))</f>
        <v/>
      </c>
      <c r="M62" s="17" t="n">
        <v>3599.82</v>
      </c>
      <c r="N62" s="17" t="n">
        <v>399.98</v>
      </c>
      <c r="O62" s="17" t="n">
        <v>0</v>
      </c>
    </row>
    <row r="63" ht="18" customHeight="1">
      <c r="A63" s="31" t="n">
        <v>715</v>
      </c>
      <c r="B63" s="18" t="inlineStr">
        <is>
          <t>TaylorMade Women's RBZ SL Rescue</t>
        </is>
      </c>
      <c r="C63" s="18" t="inlineStr">
        <is>
          <t>Golf Apparel</t>
        </is>
      </c>
      <c r="D63" s="18" t="inlineStr">
        <is>
          <t>Outdoors</t>
        </is>
      </c>
      <c r="E63" s="22" t="n">
        <v>129.9900055</v>
      </c>
      <c r="F63" s="31" t="inlineStr">
        <is>
          <t>CY</t>
        </is>
      </c>
      <c r="G63" s="21" t="n">
        <v>1.21</v>
      </c>
      <c r="H63" s="21" t="n">
        <v>4.05</v>
      </c>
      <c r="I63" s="19" t="n">
        <v>4</v>
      </c>
      <c r="J63" s="19" t="n">
        <v>9</v>
      </c>
      <c r="K63" s="19" t="n">
        <v>21</v>
      </c>
      <c r="L63" s="62">
        <f>IF(K63&lt;J63, "⚠️ REORDER IMMEDIATELY", IF(K63&gt;2.2*J63, "📦 OVERSTOCKED", "✅ OPTIMAL"))</f>
        <v/>
      </c>
      <c r="M63" s="22" t="n">
        <v>2729.79</v>
      </c>
      <c r="N63" s="22" t="n">
        <v>389.97</v>
      </c>
      <c r="O63" s="22" t="n">
        <v>0</v>
      </c>
    </row>
    <row r="64" ht="18" customHeight="1">
      <c r="A64" s="30" t="n">
        <v>786</v>
      </c>
      <c r="B64" s="13" t="inlineStr">
        <is>
          <t>TaylorMade 2014 Purelite Stand Bag</t>
        </is>
      </c>
      <c r="C64" s="13" t="inlineStr">
        <is>
          <t>Golf Gloves</t>
        </is>
      </c>
      <c r="D64" s="13" t="inlineStr">
        <is>
          <t>Outdoors</t>
        </is>
      </c>
      <c r="E64" s="17" t="n">
        <v>179.9900055</v>
      </c>
      <c r="F64" s="30" t="inlineStr">
        <is>
          <t>CX</t>
        </is>
      </c>
      <c r="G64" s="16" t="n">
        <v>1.23</v>
      </c>
      <c r="H64" s="16" t="n">
        <v>4.14</v>
      </c>
      <c r="I64" s="14" t="n">
        <v>4</v>
      </c>
      <c r="J64" s="14" t="n">
        <v>10</v>
      </c>
      <c r="K64" s="14" t="n">
        <v>21</v>
      </c>
      <c r="L64" s="63">
        <f>IF(K64&lt;J64, "⚠️ REORDER IMMEDIATELY", IF(K64&gt;2.2*J64, "📦 OVERSTOCKED", "✅ OPTIMAL"))</f>
        <v/>
      </c>
      <c r="M64" s="17" t="n">
        <v>3779.79</v>
      </c>
      <c r="N64" s="17" t="n">
        <v>179.99</v>
      </c>
      <c r="O64" s="17" t="n">
        <v>0</v>
      </c>
    </row>
    <row r="65" ht="18" customHeight="1">
      <c r="A65" s="31" t="n">
        <v>793</v>
      </c>
      <c r="B65" s="18" t="inlineStr">
        <is>
          <t>Hirzl Women's Hybrid Golf Glove</t>
        </is>
      </c>
      <c r="C65" s="18" t="inlineStr">
        <is>
          <t>Golf Balls</t>
        </is>
      </c>
      <c r="D65" s="18" t="inlineStr">
        <is>
          <t>Outdoors</t>
        </is>
      </c>
      <c r="E65" s="22" t="n">
        <v>14.98999977</v>
      </c>
      <c r="F65" s="31" t="inlineStr">
        <is>
          <t>CY</t>
        </is>
      </c>
      <c r="G65" s="21" t="n">
        <v>3.51</v>
      </c>
      <c r="H65" s="21" t="n">
        <v>3.96</v>
      </c>
      <c r="I65" s="19" t="n">
        <v>12</v>
      </c>
      <c r="J65" s="19" t="n">
        <v>26</v>
      </c>
      <c r="K65" s="19" t="n">
        <v>64</v>
      </c>
      <c r="L65" s="62">
        <f>IF(K65&lt;J65, "⚠️ REORDER IMMEDIATELY", IF(K65&gt;2.2*J65, "📦 OVERSTOCKED", "✅ OPTIMAL"))</f>
        <v/>
      </c>
      <c r="M65" s="22" t="n">
        <v>959.36</v>
      </c>
      <c r="N65" s="22" t="n">
        <v>179.88</v>
      </c>
      <c r="O65" s="22" t="n">
        <v>0</v>
      </c>
    </row>
    <row r="66" ht="18" customHeight="1">
      <c r="A66" s="30" t="n">
        <v>906</v>
      </c>
      <c r="B66" s="13" t="inlineStr">
        <is>
          <t>Team Golf Tennessee Volunteers Putter Grip</t>
        </is>
      </c>
      <c r="C66" s="13" t="inlineStr">
        <is>
          <t>Accessories</t>
        </is>
      </c>
      <c r="D66" s="13" t="inlineStr">
        <is>
          <t>Outdoors</t>
        </is>
      </c>
      <c r="E66" s="17" t="n">
        <v>24.98999977</v>
      </c>
      <c r="F66" s="30" t="inlineStr">
        <is>
          <t>CY</t>
        </is>
      </c>
      <c r="G66" s="16" t="n">
        <v>3.6</v>
      </c>
      <c r="H66" s="16" t="n">
        <v>4</v>
      </c>
      <c r="I66" s="14" t="n">
        <v>11</v>
      </c>
      <c r="J66" s="14" t="n">
        <v>26</v>
      </c>
      <c r="K66" s="14" t="n">
        <v>59</v>
      </c>
      <c r="L66" s="62">
        <f>IF(K66&lt;J66, "⚠️ REORDER IMMEDIATELY", IF(K66&gt;2.2*J66, "📦 OVERSTOCKED", "✅ OPTIMAL"))</f>
        <v/>
      </c>
      <c r="M66" s="17" t="n">
        <v>1474.41</v>
      </c>
      <c r="N66" s="17" t="n">
        <v>174.93</v>
      </c>
      <c r="O66" s="17" t="n">
        <v>0</v>
      </c>
    </row>
    <row r="67" ht="18" customHeight="1">
      <c r="A67" s="31" t="n">
        <v>771</v>
      </c>
      <c r="B67" s="18" t="inlineStr">
        <is>
          <t>Clicgear Rovic Cooler Bag</t>
        </is>
      </c>
      <c r="C67" s="18" t="inlineStr">
        <is>
          <t>Golf Gloves</t>
        </is>
      </c>
      <c r="D67" s="18" t="inlineStr">
        <is>
          <t>Outdoors</t>
        </is>
      </c>
      <c r="E67" s="22" t="n">
        <v>39.99000168</v>
      </c>
      <c r="F67" s="31" t="inlineStr">
        <is>
          <t>CY</t>
        </is>
      </c>
      <c r="G67" s="21" t="n">
        <v>3.54</v>
      </c>
      <c r="H67" s="21" t="n">
        <v>4.11</v>
      </c>
      <c r="I67" s="19" t="n">
        <v>11</v>
      </c>
      <c r="J67" s="19" t="n">
        <v>26</v>
      </c>
      <c r="K67" s="19" t="n">
        <v>56</v>
      </c>
      <c r="L67" s="63">
        <f>IF(K67&lt;J67, "⚠️ REORDER IMMEDIATELY", IF(K67&gt;2.2*J67, "📦 OVERSTOCKED", "✅ OPTIMAL"))</f>
        <v/>
      </c>
      <c r="M67" s="22" t="n">
        <v>2239.44</v>
      </c>
      <c r="N67" s="22" t="n">
        <v>159.96</v>
      </c>
      <c r="O67" s="22" t="n">
        <v>0</v>
      </c>
    </row>
    <row r="68" ht="18" customHeight="1">
      <c r="A68" s="30" t="n">
        <v>818</v>
      </c>
      <c r="B68" s="13" t="inlineStr">
        <is>
          <t>Titleist Pro V1x Golf Balls</t>
        </is>
      </c>
      <c r="C68" s="13" t="inlineStr">
        <is>
          <t>Electronics</t>
        </is>
      </c>
      <c r="D68" s="13" t="inlineStr">
        <is>
          <t>Outdoors</t>
        </is>
      </c>
      <c r="E68" s="17" t="n">
        <v>47.99000168</v>
      </c>
      <c r="F68" s="30" t="inlineStr">
        <is>
          <t>CY</t>
        </is>
      </c>
      <c r="G68" s="16" t="n">
        <v>3.51</v>
      </c>
      <c r="H68" s="16" t="n">
        <v>3.99</v>
      </c>
      <c r="I68" s="14" t="n">
        <v>12</v>
      </c>
      <c r="J68" s="14" t="n">
        <v>26</v>
      </c>
      <c r="K68" s="14" t="n">
        <v>55</v>
      </c>
      <c r="L68" s="63">
        <f>IF(K68&lt;J68, "⚠️ REORDER IMMEDIATELY", IF(K68&gt;2.2*J68, "📦 OVERSTOCKED", "✅ OPTIMAL"))</f>
        <v/>
      </c>
      <c r="M68" s="17" t="n">
        <v>2639.45</v>
      </c>
      <c r="N68" s="17" t="n">
        <v>143.97</v>
      </c>
      <c r="O68" s="17" t="n">
        <v>0</v>
      </c>
    </row>
    <row r="69" ht="18" customHeight="1">
      <c r="A69" s="31" t="n">
        <v>703</v>
      </c>
      <c r="B69" s="18" t="inlineStr">
        <is>
          <t>Top Flite Women's 2014 XL Hybrid</t>
        </is>
      </c>
      <c r="C69" s="18" t="inlineStr">
        <is>
          <t>Golf Apparel</t>
        </is>
      </c>
      <c r="D69" s="18" t="inlineStr">
        <is>
          <t>Outdoors</t>
        </is>
      </c>
      <c r="E69" s="22" t="n">
        <v>19.98999977</v>
      </c>
      <c r="F69" s="31" t="inlineStr">
        <is>
          <t>CY</t>
        </is>
      </c>
      <c r="G69" s="21" t="n">
        <v>3.41</v>
      </c>
      <c r="H69" s="21" t="n">
        <v>3.99</v>
      </c>
      <c r="I69" s="19" t="n">
        <v>10</v>
      </c>
      <c r="J69" s="19" t="n">
        <v>24</v>
      </c>
      <c r="K69" s="19" t="n">
        <v>55</v>
      </c>
      <c r="L69" s="62">
        <f>IF(K69&lt;J69, "⚠️ REORDER IMMEDIATELY", IF(K69&gt;2.2*J69, "📦 OVERSTOCKED", "✅ OPTIMAL"))</f>
        <v/>
      </c>
      <c r="M69" s="22" t="n">
        <v>1099.45</v>
      </c>
      <c r="N69" s="22" t="n">
        <v>139.93</v>
      </c>
      <c r="O69" s="22" t="n">
        <v>0</v>
      </c>
    </row>
    <row r="70" ht="18" customHeight="1">
      <c r="A70" s="30" t="n">
        <v>134</v>
      </c>
      <c r="B70" s="13" t="inlineStr">
        <is>
          <t>Nike Women's Legend V-Neck T-Shirt</t>
        </is>
      </c>
      <c r="C70" s="13" t="inlineStr">
        <is>
          <t>Hockey</t>
        </is>
      </c>
      <c r="D70" s="13" t="inlineStr">
        <is>
          <t>Fitness</t>
        </is>
      </c>
      <c r="E70" s="17" t="n">
        <v>25</v>
      </c>
      <c r="F70" s="30" t="inlineStr">
        <is>
          <t>CY</t>
        </is>
      </c>
      <c r="G70" s="16" t="n">
        <v>3.39</v>
      </c>
      <c r="H70" s="16" t="n">
        <v>3.96</v>
      </c>
      <c r="I70" s="14" t="n">
        <v>11</v>
      </c>
      <c r="J70" s="14" t="n">
        <v>25</v>
      </c>
      <c r="K70" s="14" t="n">
        <v>54</v>
      </c>
      <c r="L70" s="63">
        <f>IF(K70&lt;J70, "⚠️ REORDER IMMEDIATELY", IF(K70&gt;2.2*J70, "📦 OVERSTOCKED", "✅ OPTIMAL"))</f>
        <v/>
      </c>
      <c r="M70" s="17" t="n">
        <v>1350</v>
      </c>
      <c r="N70" s="17" t="n">
        <v>100</v>
      </c>
      <c r="O70" s="17" t="n">
        <v>0</v>
      </c>
    </row>
    <row r="71" ht="18" customHeight="1">
      <c r="A71" s="31" t="n">
        <v>677</v>
      </c>
      <c r="B71" s="18" t="inlineStr">
        <is>
          <t>TaylorMade White Smoke IN-12 Putter</t>
        </is>
      </c>
      <c r="C71" s="18" t="inlineStr">
        <is>
          <t>Women's Golf Clubs</t>
        </is>
      </c>
      <c r="D71" s="18" t="inlineStr">
        <is>
          <t>Outdoors</t>
        </is>
      </c>
      <c r="E71" s="22" t="n">
        <v>99.98999786</v>
      </c>
      <c r="F71" s="31" t="inlineStr">
        <is>
          <t>CY</t>
        </is>
      </c>
      <c r="G71" s="21" t="n">
        <v>4.2</v>
      </c>
      <c r="H71" s="21" t="n">
        <v>3.89</v>
      </c>
      <c r="I71" s="19" t="n">
        <v>13</v>
      </c>
      <c r="J71" s="19" t="n">
        <v>30</v>
      </c>
      <c r="K71" s="19" t="n">
        <v>61</v>
      </c>
      <c r="L71" s="63">
        <f>IF(K71&lt;J71, "⚠️ REORDER IMMEDIATELY", IF(K71&gt;2.2*J71, "📦 OVERSTOCKED", "✅ OPTIMAL"))</f>
        <v/>
      </c>
      <c r="M71" s="22" t="n">
        <v>6099.39</v>
      </c>
      <c r="N71" s="22" t="n">
        <v>99.98999999999999</v>
      </c>
      <c r="O71" s="22" t="n">
        <v>0</v>
      </c>
    </row>
    <row r="72" ht="18" customHeight="1">
      <c r="A72" s="30" t="n">
        <v>981</v>
      </c>
      <c r="B72" s="13" t="inlineStr">
        <is>
          <t>The North Face Women's Recon Backpack</t>
        </is>
      </c>
      <c r="C72" s="13" t="inlineStr">
        <is>
          <t>Hunting &amp; Shooting</t>
        </is>
      </c>
      <c r="D72" s="13" t="inlineStr">
        <is>
          <t>Fan Shop</t>
        </is>
      </c>
      <c r="E72" s="17" t="n">
        <v>99</v>
      </c>
      <c r="F72" s="30" t="inlineStr">
        <is>
          <t>CY</t>
        </is>
      </c>
      <c r="G72" s="16" t="n">
        <v>3.93</v>
      </c>
      <c r="H72" s="16" t="n">
        <v>3.96</v>
      </c>
      <c r="I72" s="14" t="n">
        <v>12</v>
      </c>
      <c r="J72" s="14" t="n">
        <v>28</v>
      </c>
      <c r="K72" s="14" t="n">
        <v>57</v>
      </c>
      <c r="L72" s="63">
        <f>IF(K72&lt;J72, "⚠️ REORDER IMMEDIATELY", IF(K72&gt;2.2*J72, "📦 OVERSTOCKED", "✅ OPTIMAL"))</f>
        <v/>
      </c>
      <c r="M72" s="17" t="n">
        <v>5643</v>
      </c>
      <c r="N72" s="17" t="n">
        <v>99</v>
      </c>
      <c r="O72" s="17" t="n">
        <v>0</v>
      </c>
    </row>
    <row r="73" ht="18" customHeight="1">
      <c r="A73" s="31" t="n">
        <v>823</v>
      </c>
      <c r="B73" s="18" t="inlineStr">
        <is>
          <t>Titleist Pro V1x High Numbers Personalized Go</t>
        </is>
      </c>
      <c r="C73" s="18" t="inlineStr">
        <is>
          <t>Electronics</t>
        </is>
      </c>
      <c r="D73" s="18" t="inlineStr">
        <is>
          <t>Outdoors</t>
        </is>
      </c>
      <c r="E73" s="22" t="n">
        <v>51.99000168</v>
      </c>
      <c r="F73" s="31" t="inlineStr">
        <is>
          <t>BY</t>
        </is>
      </c>
      <c r="G73" s="21" t="n">
        <v>3.57</v>
      </c>
      <c r="H73" s="21" t="n">
        <v>3.99</v>
      </c>
      <c r="I73" s="19" t="n">
        <v>11</v>
      </c>
      <c r="J73" s="19" t="n">
        <v>26</v>
      </c>
      <c r="K73" s="19" t="n">
        <v>53</v>
      </c>
      <c r="L73" s="63">
        <f>IF(K73&lt;J73, "⚠️ REORDER IMMEDIATELY", IF(K73&gt;2.2*J73, "📦 OVERSTOCKED", "✅ OPTIMAL"))</f>
        <v/>
      </c>
      <c r="M73" s="22" t="n">
        <v>2755.47</v>
      </c>
      <c r="N73" s="22" t="n">
        <v>51.99</v>
      </c>
      <c r="O73" s="22" t="n">
        <v>0</v>
      </c>
    </row>
    <row r="74" ht="18" customHeight="1">
      <c r="A74" s="30" t="n">
        <v>276</v>
      </c>
      <c r="B74" s="13" t="inlineStr">
        <is>
          <t>Under Armour Women's Ignite Slide</t>
        </is>
      </c>
      <c r="C74" s="13" t="inlineStr">
        <is>
          <t>Electronics</t>
        </is>
      </c>
      <c r="D74" s="13" t="inlineStr">
        <is>
          <t>Footwear</t>
        </is>
      </c>
      <c r="E74" s="17" t="n">
        <v>31.98999977</v>
      </c>
      <c r="F74" s="30" t="inlineStr">
        <is>
          <t>CY</t>
        </is>
      </c>
      <c r="G74" s="16" t="n">
        <v>3.75</v>
      </c>
      <c r="H74" s="16" t="n">
        <v>4.1</v>
      </c>
      <c r="I74" s="14" t="n">
        <v>12</v>
      </c>
      <c r="J74" s="14" t="n">
        <v>28</v>
      </c>
      <c r="K74" s="14" t="n">
        <v>57</v>
      </c>
      <c r="L74" s="63">
        <f>IF(K74&lt;J74, "⚠️ REORDER IMMEDIATELY", IF(K74&gt;2.2*J74, "📦 OVERSTOCKED", "✅ OPTIMAL"))</f>
        <v/>
      </c>
      <c r="M74" s="17" t="n">
        <v>1823.43</v>
      </c>
      <c r="N74" s="17" t="n">
        <v>31.99</v>
      </c>
      <c r="O74" s="17" t="n">
        <v>0</v>
      </c>
    </row>
    <row r="75" ht="18" customHeight="1">
      <c r="A75" s="31" t="n">
        <v>797</v>
      </c>
      <c r="B75" s="18" t="inlineStr">
        <is>
          <t>Hirzl Women's Soffft Flex Golf Glove</t>
        </is>
      </c>
      <c r="C75" s="18" t="inlineStr">
        <is>
          <t>Golf Balls</t>
        </is>
      </c>
      <c r="D75" s="18" t="inlineStr">
        <is>
          <t>Outdoors</t>
        </is>
      </c>
      <c r="E75" s="22" t="n">
        <v>17.98999977</v>
      </c>
      <c r="F75" s="31" t="inlineStr">
        <is>
          <t>CY</t>
        </is>
      </c>
      <c r="G75" s="21" t="n">
        <v>3.66</v>
      </c>
      <c r="H75" s="21" t="n">
        <v>3.96</v>
      </c>
      <c r="I75" s="19" t="n">
        <v>11</v>
      </c>
      <c r="J75" s="19" t="n">
        <v>26</v>
      </c>
      <c r="K75" s="19" t="n">
        <v>53</v>
      </c>
      <c r="L75" s="63">
        <f>IF(K75&lt;J75, "⚠️ REORDER IMMEDIATELY", IF(K75&gt;2.2*J75, "📦 OVERSTOCKED", "✅ OPTIMAL"))</f>
        <v/>
      </c>
      <c r="M75" s="22" t="n">
        <v>953.47</v>
      </c>
      <c r="N75" s="22" t="n">
        <v>17.99</v>
      </c>
      <c r="O75" s="22" t="n">
        <v>0</v>
      </c>
    </row>
    <row r="76" ht="18" customHeight="1">
      <c r="A76" s="30" t="n">
        <v>19</v>
      </c>
      <c r="B76" s="13" t="inlineStr">
        <is>
          <t>Nike Men's Fingertrap Max Training Shoe</t>
        </is>
      </c>
      <c r="C76" s="13" t="inlineStr">
        <is>
          <t>Soccer</t>
        </is>
      </c>
      <c r="D76" s="13" t="inlineStr">
        <is>
          <t>Fitness</t>
        </is>
      </c>
      <c r="E76" s="17" t="n">
        <v>124.9899979</v>
      </c>
      <c r="F76" s="30" t="inlineStr">
        <is>
          <t>CY</t>
        </is>
      </c>
      <c r="G76" s="16" t="n">
        <v>1.19</v>
      </c>
      <c r="H76" s="16" t="n">
        <v>4.26</v>
      </c>
      <c r="I76" s="14" t="n">
        <v>3</v>
      </c>
      <c r="J76" s="14" t="n">
        <v>9</v>
      </c>
      <c r="K76" s="14" t="n">
        <v>11</v>
      </c>
      <c r="L76" s="63">
        <f>IF(K76&lt;J76, "⚠️ REORDER IMMEDIATELY", IF(K76&gt;2.2*J76, "📦 OVERSTOCKED", "✅ OPTIMAL"))</f>
        <v/>
      </c>
      <c r="M76" s="17" t="n">
        <v>1374.89</v>
      </c>
      <c r="N76" s="17" t="n">
        <v>0</v>
      </c>
      <c r="O76" s="17" t="n">
        <v>0</v>
      </c>
    </row>
    <row r="77" ht="18" customHeight="1">
      <c r="A77" s="31" t="n">
        <v>35</v>
      </c>
      <c r="B77" s="18" t="inlineStr">
        <is>
          <t>adidas Brazuca 2014 Official Match Ball</t>
        </is>
      </c>
      <c r="C77" s="18" t="inlineStr">
        <is>
          <t>Baseball &amp; Softball</t>
        </is>
      </c>
      <c r="D77" s="18" t="inlineStr">
        <is>
          <t>Fitness</t>
        </is>
      </c>
      <c r="E77" s="22" t="n">
        <v>159.9900055</v>
      </c>
      <c r="F77" s="31" t="inlineStr">
        <is>
          <t>CX</t>
        </is>
      </c>
      <c r="G77" s="21" t="n">
        <v>1.25</v>
      </c>
      <c r="H77" s="21" t="n">
        <v>3.89</v>
      </c>
      <c r="I77" s="19" t="n">
        <v>4</v>
      </c>
      <c r="J77" s="19" t="n">
        <v>9</v>
      </c>
      <c r="K77" s="19" t="n">
        <v>17</v>
      </c>
      <c r="L77" s="63">
        <f>IF(K77&lt;J77, "⚠️ REORDER IMMEDIATELY", IF(K77&gt;2.2*J77, "📦 OVERSTOCKED", "✅ OPTIMAL"))</f>
        <v/>
      </c>
      <c r="M77" s="22" t="n">
        <v>2719.83</v>
      </c>
      <c r="N77" s="22" t="n">
        <v>0</v>
      </c>
      <c r="O77" s="22" t="n">
        <v>0</v>
      </c>
    </row>
    <row r="78" ht="18" customHeight="1">
      <c r="A78" s="30" t="n">
        <v>37</v>
      </c>
      <c r="B78" s="13" t="inlineStr">
        <is>
          <t>adidas Kids' F5 Messi FG Soccer Cleat</t>
        </is>
      </c>
      <c r="C78" s="13" t="inlineStr">
        <is>
          <t>Baseball &amp; Softball</t>
        </is>
      </c>
      <c r="D78" s="13" t="inlineStr">
        <is>
          <t>Fitness</t>
        </is>
      </c>
      <c r="E78" s="17" t="n">
        <v>34.99000168</v>
      </c>
      <c r="F78" s="30" t="inlineStr">
        <is>
          <t>CY</t>
        </is>
      </c>
      <c r="G78" s="16" t="n">
        <v>3.37</v>
      </c>
      <c r="H78" s="16" t="n">
        <v>3.9</v>
      </c>
      <c r="I78" s="14" t="n">
        <v>10</v>
      </c>
      <c r="J78" s="14" t="n">
        <v>24</v>
      </c>
      <c r="K78" s="14" t="n">
        <v>40</v>
      </c>
      <c r="L78" s="63">
        <f>IF(K78&lt;J78, "⚠️ REORDER IMMEDIATELY", IF(K78&gt;2.2*J78, "📦 OVERSTOCKED", "✅ OPTIMAL"))</f>
        <v/>
      </c>
      <c r="M78" s="17" t="n">
        <v>1399.6</v>
      </c>
      <c r="N78" s="17" t="n">
        <v>0</v>
      </c>
      <c r="O78" s="17" t="n">
        <v>0</v>
      </c>
    </row>
    <row r="79" ht="18" customHeight="1">
      <c r="A79" s="31" t="n">
        <v>78</v>
      </c>
      <c r="B79" s="18" t="inlineStr">
        <is>
          <t>Nike Kids' Grade School KD VI Basketball Shoe</t>
        </is>
      </c>
      <c r="C79" s="18" t="inlineStr">
        <is>
          <t>Lacrosse</t>
        </is>
      </c>
      <c r="D79" s="18" t="inlineStr">
        <is>
          <t>Fitness</t>
        </is>
      </c>
      <c r="E79" s="22" t="n">
        <v>99.98999786</v>
      </c>
      <c r="F79" s="31" t="inlineStr">
        <is>
          <t>CX</t>
        </is>
      </c>
      <c r="G79" s="21" t="n">
        <v>3.38</v>
      </c>
      <c r="H79" s="21" t="n">
        <v>4.04</v>
      </c>
      <c r="I79" s="19" t="n">
        <v>10</v>
      </c>
      <c r="J79" s="19" t="n">
        <v>24</v>
      </c>
      <c r="K79" s="19" t="n">
        <v>40</v>
      </c>
      <c r="L79" s="63">
        <f>IF(K79&lt;J79, "⚠️ REORDER IMMEDIATELY", IF(K79&gt;2.2*J79, "📦 OVERSTOCKED", "✅ OPTIMAL"))</f>
        <v/>
      </c>
      <c r="M79" s="22" t="n">
        <v>3999.6</v>
      </c>
      <c r="N79" s="22" t="n">
        <v>0</v>
      </c>
      <c r="O79" s="22" t="n">
        <v>0</v>
      </c>
    </row>
    <row r="80" ht="18" customHeight="1">
      <c r="A80" s="30" t="n">
        <v>93</v>
      </c>
      <c r="B80" s="13" t="inlineStr">
        <is>
          <t>Under Armour Men's Tech II T-Shirt</t>
        </is>
      </c>
      <c r="C80" s="13" t="inlineStr">
        <is>
          <t>Lacrosse</t>
        </is>
      </c>
      <c r="D80" s="13" t="inlineStr">
        <is>
          <t>Fitness</t>
        </is>
      </c>
      <c r="E80" s="17" t="n">
        <v>24.98999977</v>
      </c>
      <c r="F80" s="30" t="inlineStr">
        <is>
          <t>CY</t>
        </is>
      </c>
      <c r="G80" s="16" t="n">
        <v>3.42</v>
      </c>
      <c r="H80" s="16" t="n">
        <v>4.07</v>
      </c>
      <c r="I80" s="14" t="n">
        <v>11</v>
      </c>
      <c r="J80" s="14" t="n">
        <v>25</v>
      </c>
      <c r="K80" s="14" t="n">
        <v>47</v>
      </c>
      <c r="L80" s="63">
        <f>IF(K80&lt;J80, "⚠️ REORDER IMMEDIATELY", IF(K80&gt;2.2*J80, "📦 OVERSTOCKED", "✅ OPTIMAL"))</f>
        <v/>
      </c>
      <c r="M80" s="17" t="n">
        <v>1174.53</v>
      </c>
      <c r="N80" s="17" t="n">
        <v>0</v>
      </c>
      <c r="O80" s="17" t="n">
        <v>0</v>
      </c>
    </row>
    <row r="81" ht="18" customHeight="1">
      <c r="A81" s="31" t="n">
        <v>203</v>
      </c>
      <c r="B81" s="18" t="inlineStr">
        <is>
          <t>GoPro HERO3+ Black Edition Camera</t>
        </is>
      </c>
      <c r="C81" s="18" t="inlineStr">
        <is>
          <t>Strength Training</t>
        </is>
      </c>
      <c r="D81" s="18" t="inlineStr">
        <is>
          <t>Footwear</t>
        </is>
      </c>
      <c r="E81" s="22" t="n">
        <v>399.9899902</v>
      </c>
      <c r="F81" s="31" t="inlineStr">
        <is>
          <t>CZ</t>
        </is>
      </c>
      <c r="G81" s="21" t="n">
        <v>1.78</v>
      </c>
      <c r="H81" s="21" t="n">
        <v>4.07</v>
      </c>
      <c r="I81" s="19" t="n">
        <v>5</v>
      </c>
      <c r="J81" s="19" t="n">
        <v>13</v>
      </c>
      <c r="K81" s="19" t="n">
        <v>14</v>
      </c>
      <c r="L81" s="63">
        <f>IF(K81&lt;J81, "⚠️ REORDER IMMEDIATELY", IF(K81&gt;2.2*J81, "📦 OVERSTOCKED", "✅ OPTIMAL"))</f>
        <v/>
      </c>
      <c r="M81" s="22" t="n">
        <v>5599.86</v>
      </c>
      <c r="N81" s="22" t="n">
        <v>0</v>
      </c>
      <c r="O81" s="22" t="n">
        <v>0</v>
      </c>
    </row>
    <row r="82" ht="18" customHeight="1">
      <c r="A82" s="30" t="n">
        <v>208</v>
      </c>
      <c r="B82" s="13" t="inlineStr">
        <is>
          <t>SOLE E35 Elliptical</t>
        </is>
      </c>
      <c r="C82" s="13" t="inlineStr">
        <is>
          <t>Strength Training</t>
        </is>
      </c>
      <c r="D82" s="13" t="inlineStr">
        <is>
          <t>Footwear</t>
        </is>
      </c>
      <c r="E82" s="17" t="n">
        <v>1999.98999</v>
      </c>
      <c r="F82" s="30" t="inlineStr">
        <is>
          <t>CZ</t>
        </is>
      </c>
      <c r="G82" s="16" t="n">
        <v>3.75</v>
      </c>
      <c r="H82" s="16" t="n">
        <v>4.07</v>
      </c>
      <c r="I82" s="14" t="n">
        <v>11</v>
      </c>
      <c r="J82" s="14" t="n">
        <v>27</v>
      </c>
      <c r="K82" s="14" t="n">
        <v>41</v>
      </c>
      <c r="L82" s="63">
        <f>IF(K82&lt;J82, "⚠️ REORDER IMMEDIATELY", IF(K82&gt;2.2*J82, "📦 OVERSTOCKED", "✅ OPTIMAL"))</f>
        <v/>
      </c>
      <c r="M82" s="17" t="n">
        <v>81999.59</v>
      </c>
      <c r="N82" s="17" t="n">
        <v>0</v>
      </c>
      <c r="O82" s="17" t="n">
        <v>0</v>
      </c>
    </row>
    <row r="83" ht="18" customHeight="1">
      <c r="A83" s="31" t="n">
        <v>216</v>
      </c>
      <c r="B83" s="18" t="inlineStr">
        <is>
          <t>Yakima DoubleDown Ace Hitch Mount 4-Bike Rack</t>
        </is>
      </c>
      <c r="C83" s="18" t="inlineStr">
        <is>
          <t>Strength Training</t>
        </is>
      </c>
      <c r="D83" s="18" t="inlineStr">
        <is>
          <t>Footwear</t>
        </is>
      </c>
      <c r="E83" s="22" t="n">
        <v>189</v>
      </c>
      <c r="F83" s="31" t="inlineStr">
        <is>
          <t>CX</t>
        </is>
      </c>
      <c r="G83" s="21" t="n">
        <v>1.28</v>
      </c>
      <c r="H83" s="21" t="n">
        <v>4.07</v>
      </c>
      <c r="I83" s="19" t="n">
        <v>4</v>
      </c>
      <c r="J83" s="19" t="n">
        <v>10</v>
      </c>
      <c r="K83" s="19" t="n">
        <v>13</v>
      </c>
      <c r="L83" s="63">
        <f>IF(K83&lt;J83, "⚠️ REORDER IMMEDIATELY", IF(K83&gt;2.2*J83, "📦 OVERSTOCKED", "✅ OPTIMAL"))</f>
        <v/>
      </c>
      <c r="M83" s="22" t="n">
        <v>2457</v>
      </c>
      <c r="N83" s="22" t="n">
        <v>0</v>
      </c>
      <c r="O83" s="22" t="n">
        <v>0</v>
      </c>
    </row>
    <row r="84" ht="18" customHeight="1">
      <c r="A84" s="30" t="n">
        <v>226</v>
      </c>
      <c r="B84" s="13" t="inlineStr">
        <is>
          <t>Bowflex SelectTech 1090 Dumbbells</t>
        </is>
      </c>
      <c r="C84" s="13" t="inlineStr">
        <is>
          <t>Fitness Accessories</t>
        </is>
      </c>
      <c r="D84" s="13" t="inlineStr">
        <is>
          <t>Footwear</t>
        </is>
      </c>
      <c r="E84" s="17" t="n">
        <v>599.9899902</v>
      </c>
      <c r="F84" s="30" t="inlineStr">
        <is>
          <t>CZ</t>
        </is>
      </c>
      <c r="G84" s="16" t="n">
        <v>3.33</v>
      </c>
      <c r="H84" s="16" t="n">
        <v>4.22</v>
      </c>
      <c r="I84" s="14" t="n">
        <v>8</v>
      </c>
      <c r="J84" s="14" t="n">
        <v>23</v>
      </c>
      <c r="K84" s="14" t="n">
        <v>23</v>
      </c>
      <c r="L84" s="63">
        <f>IF(K84&lt;J84, "⚠️ REORDER IMMEDIATELY", IF(K84&gt;2.2*J84, "📦 OVERSTOCKED", "✅ OPTIMAL"))</f>
        <v/>
      </c>
      <c r="M84" s="17" t="n">
        <v>13799.77</v>
      </c>
      <c r="N84" s="17" t="n">
        <v>0</v>
      </c>
      <c r="O84" s="17" t="n">
        <v>0</v>
      </c>
    </row>
    <row r="85" ht="18" customHeight="1">
      <c r="A85" s="31" t="n">
        <v>235</v>
      </c>
      <c r="B85" s="18" t="inlineStr">
        <is>
          <t>Under Armour Hustle Storm Medium Duffle Bag</t>
        </is>
      </c>
      <c r="C85" s="18" t="inlineStr">
        <is>
          <t>Fitness Accessories</t>
        </is>
      </c>
      <c r="D85" s="18" t="inlineStr">
        <is>
          <t>Footwear</t>
        </is>
      </c>
      <c r="E85" s="22" t="n">
        <v>34.99000168</v>
      </c>
      <c r="F85" s="31" t="inlineStr">
        <is>
          <t>CY</t>
        </is>
      </c>
      <c r="G85" s="21" t="n">
        <v>3.36</v>
      </c>
      <c r="H85" s="21" t="n">
        <v>4.36</v>
      </c>
      <c r="I85" s="19" t="n">
        <v>10</v>
      </c>
      <c r="J85" s="19" t="n">
        <v>25</v>
      </c>
      <c r="K85" s="19" t="n">
        <v>42</v>
      </c>
      <c r="L85" s="63">
        <f>IF(K85&lt;J85, "⚠️ REORDER IMMEDIATELY", IF(K85&gt;2.2*J85, "📦 OVERSTOCKED", "✅ OPTIMAL"))</f>
        <v/>
      </c>
      <c r="M85" s="22" t="n">
        <v>1469.58</v>
      </c>
      <c r="N85" s="22" t="n">
        <v>0</v>
      </c>
      <c r="O85" s="22" t="n">
        <v>0</v>
      </c>
    </row>
    <row r="86" ht="18" customHeight="1">
      <c r="A86" s="30" t="n">
        <v>251</v>
      </c>
      <c r="B86" s="13" t="inlineStr">
        <is>
          <t>Brooks Women's Ghost 6 Running Shoe</t>
        </is>
      </c>
      <c r="C86" s="13" t="inlineStr">
        <is>
          <t>Boxing &amp; MMA</t>
        </is>
      </c>
      <c r="D86" s="13" t="inlineStr">
        <is>
          <t>Footwear</t>
        </is>
      </c>
      <c r="E86" s="17" t="n">
        <v>89.98999786</v>
      </c>
      <c r="F86" s="30" t="inlineStr">
        <is>
          <t>CY</t>
        </is>
      </c>
      <c r="G86" s="16" t="n">
        <v>4.16</v>
      </c>
      <c r="H86" s="16" t="n">
        <v>4.06</v>
      </c>
      <c r="I86" s="14" t="n">
        <v>13</v>
      </c>
      <c r="J86" s="14" t="n">
        <v>30</v>
      </c>
      <c r="K86" s="14" t="n">
        <v>30</v>
      </c>
      <c r="L86" s="63">
        <f>IF(K86&lt;J86, "⚠️ REORDER IMMEDIATELY", IF(K86&gt;2.2*J86, "📦 OVERSTOCKED", "✅ OPTIMAL"))</f>
        <v/>
      </c>
      <c r="M86" s="17" t="n">
        <v>2699.7</v>
      </c>
      <c r="N86" s="17" t="n">
        <v>0</v>
      </c>
      <c r="O86" s="17" t="n">
        <v>0</v>
      </c>
    </row>
    <row r="87" ht="18" customHeight="1">
      <c r="A87" s="31" t="n">
        <v>258</v>
      </c>
      <c r="B87" s="18" t="inlineStr">
        <is>
          <t>Nike Women's Free 5.0 TR FIT PRT 4 Training S</t>
        </is>
      </c>
      <c r="C87" s="18" t="inlineStr">
        <is>
          <t>Boxing &amp; MMA</t>
        </is>
      </c>
      <c r="D87" s="18" t="inlineStr">
        <is>
          <t>Footwear</t>
        </is>
      </c>
      <c r="E87" s="22" t="n">
        <v>94.98999786</v>
      </c>
      <c r="F87" s="31" t="inlineStr">
        <is>
          <t>CX</t>
        </is>
      </c>
      <c r="G87" s="21" t="n">
        <v>3.81</v>
      </c>
      <c r="H87" s="21" t="n">
        <v>4.06</v>
      </c>
      <c r="I87" s="19" t="n">
        <v>12</v>
      </c>
      <c r="J87" s="19" t="n">
        <v>28</v>
      </c>
      <c r="K87" s="19" t="n">
        <v>33</v>
      </c>
      <c r="L87" s="63">
        <f>IF(K87&lt;J87, "⚠️ REORDER IMMEDIATELY", IF(K87&gt;2.2*J87, "📦 OVERSTOCKED", "✅ OPTIMAL"))</f>
        <v/>
      </c>
      <c r="M87" s="22" t="n">
        <v>3134.67</v>
      </c>
      <c r="N87" s="22" t="n">
        <v>0</v>
      </c>
      <c r="O87" s="22" t="n">
        <v>0</v>
      </c>
    </row>
    <row r="88" ht="18" customHeight="1">
      <c r="A88" s="30" t="n">
        <v>273</v>
      </c>
      <c r="B88" s="13" t="inlineStr">
        <is>
          <t>Under Armour Kids' Mercenary Slide</t>
        </is>
      </c>
      <c r="C88" s="13" t="inlineStr">
        <is>
          <t>Electronics</t>
        </is>
      </c>
      <c r="D88" s="13" t="inlineStr">
        <is>
          <t>Footwear</t>
        </is>
      </c>
      <c r="E88" s="17" t="n">
        <v>27.98999977</v>
      </c>
      <c r="F88" s="30" t="inlineStr">
        <is>
          <t>CY</t>
        </is>
      </c>
      <c r="G88" s="16" t="n">
        <v>3.68</v>
      </c>
      <c r="H88" s="16" t="n">
        <v>3.99</v>
      </c>
      <c r="I88" s="14" t="n">
        <v>12</v>
      </c>
      <c r="J88" s="14" t="n">
        <v>27</v>
      </c>
      <c r="K88" s="14" t="n">
        <v>37</v>
      </c>
      <c r="L88" s="63">
        <f>IF(K88&lt;J88, "⚠️ REORDER IMMEDIATELY", IF(K88&gt;2.2*J88, "📦 OVERSTOCKED", "✅ OPTIMAL"))</f>
        <v/>
      </c>
      <c r="M88" s="17" t="n">
        <v>1035.63</v>
      </c>
      <c r="N88" s="17" t="n">
        <v>0</v>
      </c>
      <c r="O88" s="17" t="n">
        <v>0</v>
      </c>
    </row>
    <row r="89" ht="18" customHeight="1">
      <c r="A89" s="31" t="n">
        <v>282</v>
      </c>
      <c r="B89" s="18" t="inlineStr">
        <is>
          <t>Under Armour Women's Ignite PIP VI Slide</t>
        </is>
      </c>
      <c r="C89" s="18" t="inlineStr">
        <is>
          <t>Electronics</t>
        </is>
      </c>
      <c r="D89" s="18" t="inlineStr">
        <is>
          <t>Footwear</t>
        </is>
      </c>
      <c r="E89" s="22" t="n">
        <v>31.98999977</v>
      </c>
      <c r="F89" s="31" t="inlineStr">
        <is>
          <t>CY</t>
        </is>
      </c>
      <c r="G89" s="21" t="n">
        <v>3.56</v>
      </c>
      <c r="H89" s="21" t="n">
        <v>3.99</v>
      </c>
      <c r="I89" s="19" t="n">
        <v>11</v>
      </c>
      <c r="J89" s="19" t="n">
        <v>26</v>
      </c>
      <c r="K89" s="19" t="n">
        <v>38</v>
      </c>
      <c r="L89" s="63">
        <f>IF(K89&lt;J89, "⚠️ REORDER IMMEDIATELY", IF(K89&gt;2.2*J89, "📦 OVERSTOCKED", "✅ OPTIMAL"))</f>
        <v/>
      </c>
      <c r="M89" s="22" t="n">
        <v>1215.62</v>
      </c>
      <c r="N89" s="22" t="n">
        <v>0</v>
      </c>
      <c r="O89" s="22" t="n">
        <v>0</v>
      </c>
    </row>
    <row r="90" ht="18" customHeight="1">
      <c r="A90" s="30" t="n">
        <v>295</v>
      </c>
      <c r="B90" s="13" t="inlineStr">
        <is>
          <t>Fitbit The One Wireless Activity &amp; Sleep Trac</t>
        </is>
      </c>
      <c r="C90" s="13" t="inlineStr">
        <is>
          <t>Kids' Golf Clubs</t>
        </is>
      </c>
      <c r="D90" s="13" t="inlineStr">
        <is>
          <t>Outdoors</t>
        </is>
      </c>
      <c r="E90" s="17" t="n">
        <v>99.94999695</v>
      </c>
      <c r="F90" s="30" t="inlineStr">
        <is>
          <t>CX</t>
        </is>
      </c>
      <c r="G90" s="16" t="n">
        <v>3.9</v>
      </c>
      <c r="H90" s="16" t="n">
        <v>4.18</v>
      </c>
      <c r="I90" s="14" t="n">
        <v>12</v>
      </c>
      <c r="J90" s="14" t="n">
        <v>29</v>
      </c>
      <c r="K90" s="14" t="n">
        <v>48</v>
      </c>
      <c r="L90" s="63">
        <f>IF(K90&lt;J90, "⚠️ REORDER IMMEDIATELY", IF(K90&gt;2.2*J90, "📦 OVERSTOCKED", "✅ OPTIMAL"))</f>
        <v/>
      </c>
      <c r="M90" s="17" t="n">
        <v>4797.6</v>
      </c>
      <c r="N90" s="17" t="n">
        <v>0</v>
      </c>
      <c r="O90" s="17" t="n">
        <v>0</v>
      </c>
    </row>
    <row r="91" ht="18" customHeight="1">
      <c r="A91" s="31" t="n">
        <v>305</v>
      </c>
      <c r="B91" s="18" t="inlineStr">
        <is>
          <t>Mio ALPHA Heart Rate Monitor/Sport Watch</t>
        </is>
      </c>
      <c r="C91" s="18" t="inlineStr">
        <is>
          <t>Kids' Golf Clubs</t>
        </is>
      </c>
      <c r="D91" s="18" t="inlineStr">
        <is>
          <t>Outdoors</t>
        </is>
      </c>
      <c r="E91" s="22" t="n">
        <v>199</v>
      </c>
      <c r="F91" s="31" t="inlineStr">
        <is>
          <t>CY</t>
        </is>
      </c>
      <c r="G91" s="21" t="n">
        <v>1.22</v>
      </c>
      <c r="H91" s="21" t="n">
        <v>4.18</v>
      </c>
      <c r="I91" s="19" t="n">
        <v>4</v>
      </c>
      <c r="J91" s="19" t="n">
        <v>10</v>
      </c>
      <c r="K91" s="19" t="n">
        <v>17</v>
      </c>
      <c r="L91" s="63">
        <f>IF(K91&lt;J91, "⚠️ REORDER IMMEDIATELY", IF(K91&gt;2.2*J91, "📦 OVERSTOCKED", "✅ OPTIMAL"))</f>
        <v/>
      </c>
      <c r="M91" s="22" t="n">
        <v>3383</v>
      </c>
      <c r="N91" s="22" t="n">
        <v>0</v>
      </c>
      <c r="O91" s="22" t="n">
        <v>0</v>
      </c>
    </row>
    <row r="92" ht="18" customHeight="1">
      <c r="A92" s="30" t="n">
        <v>403</v>
      </c>
      <c r="B92" s="13" t="inlineStr">
        <is>
          <t>Nike Men's CJ Elite 2 TD Football Cleat</t>
        </is>
      </c>
      <c r="C92" s="13" t="inlineStr">
        <is>
          <t>Men's Footwear</t>
        </is>
      </c>
      <c r="D92" s="13" t="inlineStr">
        <is>
          <t>Apparel</t>
        </is>
      </c>
      <c r="E92" s="17" t="n">
        <v>129.9900055</v>
      </c>
      <c r="F92" s="30" t="inlineStr">
        <is>
          <t>AX</t>
        </is>
      </c>
      <c r="G92" s="16" t="n">
        <v>22.11</v>
      </c>
      <c r="H92" s="16" t="n">
        <v>3.98</v>
      </c>
      <c r="I92" s="14" t="n">
        <v>54</v>
      </c>
      <c r="J92" s="14" t="n">
        <v>143</v>
      </c>
      <c r="K92" s="14" t="n">
        <v>149</v>
      </c>
      <c r="L92" s="63">
        <f>IF(K92&lt;J92, "⚠️ REORDER IMMEDIATELY", IF(K92&gt;2.2*J92, "📦 OVERSTOCKED", "✅ OPTIMAL"))</f>
        <v/>
      </c>
      <c r="M92" s="17" t="n">
        <v>19368.51</v>
      </c>
      <c r="N92" s="17" t="n">
        <v>0</v>
      </c>
      <c r="O92" s="17" t="n">
        <v>0</v>
      </c>
    </row>
    <row r="93" ht="18" customHeight="1">
      <c r="A93" s="31" t="n">
        <v>564</v>
      </c>
      <c r="B93" s="18" t="inlineStr">
        <is>
          <t>Nike Men's Deutschland Weltmeister Winners Bl</t>
        </is>
      </c>
      <c r="C93" s="18" t="inlineStr">
        <is>
          <t>Girls' Apparel</t>
        </is>
      </c>
      <c r="D93" s="18" t="inlineStr">
        <is>
          <t>Golf</t>
        </is>
      </c>
      <c r="E93" s="22" t="n">
        <v>30</v>
      </c>
      <c r="F93" s="31" t="inlineStr">
        <is>
          <t>CY</t>
        </is>
      </c>
      <c r="G93" s="21" t="n">
        <v>3.7</v>
      </c>
      <c r="H93" s="21" t="n">
        <v>3.99</v>
      </c>
      <c r="I93" s="19" t="n">
        <v>12</v>
      </c>
      <c r="J93" s="19" t="n">
        <v>27</v>
      </c>
      <c r="K93" s="19" t="n">
        <v>50</v>
      </c>
      <c r="L93" s="63">
        <f>IF(K93&lt;J93, "⚠️ REORDER IMMEDIATELY", IF(K93&gt;2.2*J93, "📦 OVERSTOCKED", "✅ OPTIMAL"))</f>
        <v/>
      </c>
      <c r="M93" s="22" t="n">
        <v>1500</v>
      </c>
      <c r="N93" s="22" t="n">
        <v>0</v>
      </c>
      <c r="O93" s="22" t="n">
        <v>0</v>
      </c>
    </row>
    <row r="94" ht="18" customHeight="1">
      <c r="A94" s="30" t="n">
        <v>565</v>
      </c>
      <c r="B94" s="13" t="inlineStr">
        <is>
          <t>adidas Youth Germany Black/Red Away Match Soc</t>
        </is>
      </c>
      <c r="C94" s="13" t="inlineStr">
        <is>
          <t>Girls' Apparel</t>
        </is>
      </c>
      <c r="D94" s="13" t="inlineStr">
        <is>
          <t>Golf</t>
        </is>
      </c>
      <c r="E94" s="17" t="n">
        <v>70</v>
      </c>
      <c r="F94" s="30" t="inlineStr">
        <is>
          <t>BY</t>
        </is>
      </c>
      <c r="G94" s="16" t="n">
        <v>3.66</v>
      </c>
      <c r="H94" s="16" t="n">
        <v>4.02</v>
      </c>
      <c r="I94" s="14" t="n">
        <v>11</v>
      </c>
      <c r="J94" s="14" t="n">
        <v>26</v>
      </c>
      <c r="K94" s="14" t="n">
        <v>34</v>
      </c>
      <c r="L94" s="63">
        <f>IF(K94&lt;J94, "⚠️ REORDER IMMEDIATELY", IF(K94&gt;2.2*J94, "📦 OVERSTOCKED", "✅ OPTIMAL"))</f>
        <v/>
      </c>
      <c r="M94" s="17" t="n">
        <v>2380</v>
      </c>
      <c r="N94" s="17" t="n">
        <v>0</v>
      </c>
      <c r="O94" s="17" t="n">
        <v>0</v>
      </c>
    </row>
    <row r="95" ht="18" customHeight="1">
      <c r="A95" s="31" t="n">
        <v>572</v>
      </c>
      <c r="B95" s="18" t="inlineStr">
        <is>
          <t>TYR Boys' Team Digi Jammer</t>
        </is>
      </c>
      <c r="C95" s="18" t="inlineStr">
        <is>
          <t>Girls' Apparel</t>
        </is>
      </c>
      <c r="D95" s="18" t="inlineStr">
        <is>
          <t>Golf</t>
        </is>
      </c>
      <c r="E95" s="22" t="n">
        <v>39.99000168</v>
      </c>
      <c r="F95" s="31" t="inlineStr">
        <is>
          <t>CY</t>
        </is>
      </c>
      <c r="G95" s="21" t="n">
        <v>3.46</v>
      </c>
      <c r="H95" s="21" t="n">
        <v>4.02</v>
      </c>
      <c r="I95" s="19" t="n">
        <v>11</v>
      </c>
      <c r="J95" s="19" t="n">
        <v>25</v>
      </c>
      <c r="K95" s="19" t="n">
        <v>36</v>
      </c>
      <c r="L95" s="63">
        <f>IF(K95&lt;J95, "⚠️ REORDER IMMEDIATELY", IF(K95&gt;2.2*J95, "📦 OVERSTOCKED", "✅ OPTIMAL"))</f>
        <v/>
      </c>
      <c r="M95" s="22" t="n">
        <v>1439.64</v>
      </c>
      <c r="N95" s="22" t="n">
        <v>0</v>
      </c>
      <c r="O95" s="22" t="n">
        <v>0</v>
      </c>
    </row>
    <row r="96" ht="18" customHeight="1">
      <c r="A96" s="30" t="n">
        <v>642</v>
      </c>
      <c r="B96" s="13" t="inlineStr">
        <is>
          <t>Columbia Men's PFG Anchor Tough T-Shirt</t>
        </is>
      </c>
      <c r="C96" s="13" t="inlineStr">
        <is>
          <t>Shop By Sport</t>
        </is>
      </c>
      <c r="D96" s="13" t="inlineStr">
        <is>
          <t>Golf</t>
        </is>
      </c>
      <c r="E96" s="17" t="n">
        <v>30</v>
      </c>
      <c r="F96" s="30" t="inlineStr">
        <is>
          <t>CY</t>
        </is>
      </c>
      <c r="G96" s="16" t="n">
        <v>3.73</v>
      </c>
      <c r="H96" s="16" t="n">
        <v>4</v>
      </c>
      <c r="I96" s="14" t="n">
        <v>12</v>
      </c>
      <c r="J96" s="14" t="n">
        <v>27</v>
      </c>
      <c r="K96" s="14" t="n">
        <v>48</v>
      </c>
      <c r="L96" s="63">
        <f>IF(K96&lt;J96, "⚠️ REORDER IMMEDIATELY", IF(K96&gt;2.2*J96, "📦 OVERSTOCKED", "✅ OPTIMAL"))</f>
        <v/>
      </c>
      <c r="M96" s="17" t="n">
        <v>1440</v>
      </c>
      <c r="N96" s="17" t="n">
        <v>0</v>
      </c>
      <c r="O96" s="17" t="n">
        <v>0</v>
      </c>
    </row>
    <row r="97" ht="18" customHeight="1">
      <c r="A97" s="31" t="n">
        <v>646</v>
      </c>
      <c r="B97" s="18" t="inlineStr">
        <is>
          <t>Merrell Women's Grassbow Sport Hiking Shoe</t>
        </is>
      </c>
      <c r="C97" s="18" t="inlineStr">
        <is>
          <t>Men's Golf Clubs</t>
        </is>
      </c>
      <c r="D97" s="18" t="inlineStr">
        <is>
          <t>Outdoors</t>
        </is>
      </c>
      <c r="E97" s="22" t="n">
        <v>99.98999786</v>
      </c>
      <c r="F97" s="31" t="inlineStr">
        <is>
          <t>CY</t>
        </is>
      </c>
      <c r="G97" s="21" t="n">
        <v>3.57</v>
      </c>
      <c r="H97" s="21" t="n">
        <v>3.87</v>
      </c>
      <c r="I97" s="19" t="n">
        <v>12</v>
      </c>
      <c r="J97" s="19" t="n">
        <v>26</v>
      </c>
      <c r="K97" s="19" t="n">
        <v>27</v>
      </c>
      <c r="L97" s="63">
        <f>IF(K97&lt;J97, "⚠️ REORDER IMMEDIATELY", IF(K97&gt;2.2*J97, "📦 OVERSTOCKED", "✅ OPTIMAL"))</f>
        <v/>
      </c>
      <c r="M97" s="22" t="n">
        <v>2699.73</v>
      </c>
      <c r="N97" s="22" t="n">
        <v>0</v>
      </c>
      <c r="O97" s="22" t="n">
        <v>0</v>
      </c>
    </row>
    <row r="98" ht="18" customHeight="1">
      <c r="A98" s="30" t="n">
        <v>647</v>
      </c>
      <c r="B98" s="13" t="inlineStr">
        <is>
          <t>Merrell Women's Siren Mid Waterproof Hiking B</t>
        </is>
      </c>
      <c r="C98" s="13" t="inlineStr">
        <is>
          <t>Men's Golf Clubs</t>
        </is>
      </c>
      <c r="D98" s="13" t="inlineStr">
        <is>
          <t>Outdoors</t>
        </is>
      </c>
      <c r="E98" s="17" t="n">
        <v>134.9900055</v>
      </c>
      <c r="F98" s="30" t="inlineStr">
        <is>
          <t>CX</t>
        </is>
      </c>
      <c r="G98" s="16" t="n">
        <v>1.19</v>
      </c>
      <c r="H98" s="16" t="n">
        <v>3.87</v>
      </c>
      <c r="I98" s="14" t="n">
        <v>4</v>
      </c>
      <c r="J98" s="14" t="n">
        <v>9</v>
      </c>
      <c r="K98" s="14" t="n">
        <v>13</v>
      </c>
      <c r="L98" s="63">
        <f>IF(K98&lt;J98, "⚠️ REORDER IMMEDIATELY", IF(K98&gt;2.2*J98, "📦 OVERSTOCKED", "✅ OPTIMAL"))</f>
        <v/>
      </c>
      <c r="M98" s="17" t="n">
        <v>1754.87</v>
      </c>
      <c r="N98" s="17" t="n">
        <v>0</v>
      </c>
      <c r="O98" s="17" t="n">
        <v>0</v>
      </c>
    </row>
    <row r="99" ht="18" customHeight="1">
      <c r="A99" s="31" t="n">
        <v>652</v>
      </c>
      <c r="B99" s="18" t="inlineStr">
        <is>
          <t>Merrell Women's Grassbow Sport Waterproof Hik</t>
        </is>
      </c>
      <c r="C99" s="18" t="inlineStr">
        <is>
          <t>Men's Golf Clubs</t>
        </is>
      </c>
      <c r="D99" s="18" t="inlineStr">
        <is>
          <t>Outdoors</t>
        </is>
      </c>
      <c r="E99" s="22" t="n">
        <v>129.9900055</v>
      </c>
      <c r="F99" s="31" t="inlineStr">
        <is>
          <t>CY</t>
        </is>
      </c>
      <c r="G99" s="21" t="n">
        <v>1.21</v>
      </c>
      <c r="H99" s="21" t="n">
        <v>3.87</v>
      </c>
      <c r="I99" s="19" t="n">
        <v>4</v>
      </c>
      <c r="J99" s="19" t="n">
        <v>9</v>
      </c>
      <c r="K99" s="19" t="n">
        <v>14</v>
      </c>
      <c r="L99" s="63">
        <f>IF(K99&lt;J99, "⚠️ REORDER IMMEDIATELY", IF(K99&gt;2.2*J99, "📦 OVERSTOCKED", "✅ OPTIMAL"))</f>
        <v/>
      </c>
      <c r="M99" s="22" t="n">
        <v>1819.86</v>
      </c>
      <c r="N99" s="22" t="n">
        <v>0</v>
      </c>
      <c r="O99" s="22" t="n">
        <v>0</v>
      </c>
    </row>
    <row r="100" ht="18" customHeight="1">
      <c r="A100" s="30" t="n">
        <v>705</v>
      </c>
      <c r="B100" s="13" t="inlineStr">
        <is>
          <t>Cleveland Golf Women's 588 RTX CB Satin Chrom</t>
        </is>
      </c>
      <c r="C100" s="13" t="inlineStr">
        <is>
          <t>Golf Apparel</t>
        </is>
      </c>
      <c r="D100" s="13" t="inlineStr">
        <is>
          <t>Outdoors</t>
        </is>
      </c>
      <c r="E100" s="17" t="n">
        <v>119.9899979</v>
      </c>
      <c r="F100" s="30" t="inlineStr">
        <is>
          <t>CX</t>
        </is>
      </c>
      <c r="G100" s="16" t="n">
        <v>1.25</v>
      </c>
      <c r="H100" s="16" t="n">
        <v>4.05</v>
      </c>
      <c r="I100" s="14" t="n">
        <v>4</v>
      </c>
      <c r="J100" s="14" t="n">
        <v>10</v>
      </c>
      <c r="K100" s="14" t="n">
        <v>17</v>
      </c>
      <c r="L100" s="63">
        <f>IF(K100&lt;J100, "⚠️ REORDER IMMEDIATELY", IF(K100&gt;2.2*J100, "📦 OVERSTOCKED", "✅ OPTIMAL"))</f>
        <v/>
      </c>
      <c r="M100" s="17" t="n">
        <v>2039.83</v>
      </c>
      <c r="N100" s="17" t="n">
        <v>0</v>
      </c>
      <c r="O100" s="17" t="n">
        <v>0</v>
      </c>
    </row>
    <row r="101" ht="18" customHeight="1">
      <c r="A101" s="31" t="n">
        <v>730</v>
      </c>
      <c r="B101" s="18" t="inlineStr">
        <is>
          <t>LIJA Women's Argyle Golf Polo</t>
        </is>
      </c>
      <c r="C101" s="18" t="inlineStr">
        <is>
          <t>Golf Shoes</t>
        </is>
      </c>
      <c r="D101" s="18" t="inlineStr">
        <is>
          <t>Outdoors</t>
        </is>
      </c>
      <c r="E101" s="22" t="n">
        <v>80</v>
      </c>
      <c r="F101" s="31" t="inlineStr">
        <is>
          <t>CX</t>
        </is>
      </c>
      <c r="G101" s="21" t="n">
        <v>3.61</v>
      </c>
      <c r="H101" s="21" t="n">
        <v>3.9</v>
      </c>
      <c r="I101" s="19" t="n">
        <v>12</v>
      </c>
      <c r="J101" s="19" t="n">
        <v>27</v>
      </c>
      <c r="K101" s="19" t="n">
        <v>29</v>
      </c>
      <c r="L101" s="63">
        <f>IF(K101&lt;J101, "⚠️ REORDER IMMEDIATELY", IF(K101&gt;2.2*J101, "📦 OVERSTOCKED", "✅ OPTIMAL"))</f>
        <v/>
      </c>
      <c r="M101" s="22" t="n">
        <v>2320</v>
      </c>
      <c r="N101" s="22" t="n">
        <v>0</v>
      </c>
      <c r="O101" s="22" t="n">
        <v>0</v>
      </c>
    </row>
    <row r="102" ht="18" customHeight="1">
      <c r="A102" s="30" t="n">
        <v>743</v>
      </c>
      <c r="B102" s="13" t="inlineStr">
        <is>
          <t>Ogio Race Golf Shoes</t>
        </is>
      </c>
      <c r="C102" s="13" t="inlineStr">
        <is>
          <t>Golf Bags &amp; Carts</t>
        </is>
      </c>
      <c r="D102" s="13" t="inlineStr">
        <is>
          <t>Outdoors</t>
        </is>
      </c>
      <c r="E102" s="17" t="n">
        <v>169.9900055</v>
      </c>
      <c r="F102" s="30" t="inlineStr">
        <is>
          <t>CX</t>
        </is>
      </c>
      <c r="G102" s="16" t="n">
        <v>1.24</v>
      </c>
      <c r="H102" s="16" t="n">
        <v>3.89</v>
      </c>
      <c r="I102" s="14" t="n">
        <v>4</v>
      </c>
      <c r="J102" s="14" t="n">
        <v>9</v>
      </c>
      <c r="K102" s="14" t="n">
        <v>11</v>
      </c>
      <c r="L102" s="63">
        <f>IF(K102&lt;J102, "⚠️ REORDER IMMEDIATELY", IF(K102&gt;2.2*J102, "📦 OVERSTOCKED", "✅ OPTIMAL"))</f>
        <v/>
      </c>
      <c r="M102" s="17" t="n">
        <v>1869.89</v>
      </c>
      <c r="N102" s="17" t="n">
        <v>0</v>
      </c>
      <c r="O102" s="17" t="n">
        <v>0</v>
      </c>
    </row>
    <row r="103" ht="18" customHeight="1">
      <c r="A103" s="31" t="n">
        <v>768</v>
      </c>
      <c r="B103" s="18" t="inlineStr">
        <is>
          <t>Titleist Club Glove Travel Cover</t>
        </is>
      </c>
      <c r="C103" s="18" t="inlineStr">
        <is>
          <t>Golf Gloves</t>
        </is>
      </c>
      <c r="D103" s="18" t="inlineStr">
        <is>
          <t>Outdoors</t>
        </is>
      </c>
      <c r="E103" s="22" t="n">
        <v>299.9899902</v>
      </c>
      <c r="F103" s="31" t="inlineStr">
        <is>
          <t>CZ</t>
        </is>
      </c>
      <c r="G103" s="21" t="n">
        <v>1.89</v>
      </c>
      <c r="H103" s="21" t="n">
        <v>4.14</v>
      </c>
      <c r="I103" s="19" t="n">
        <v>6</v>
      </c>
      <c r="J103" s="19" t="n">
        <v>14</v>
      </c>
      <c r="K103" s="19" t="n">
        <v>14</v>
      </c>
      <c r="L103" s="63">
        <f>IF(K103&lt;J103, "⚠️ REORDER IMMEDIATELY", IF(K103&gt;2.2*J103, "📦 OVERSTOCKED", "✅ OPTIMAL"))</f>
        <v/>
      </c>
      <c r="M103" s="22" t="n">
        <v>4199.86</v>
      </c>
      <c r="N103" s="22" t="n">
        <v>0</v>
      </c>
      <c r="O103" s="22" t="n">
        <v>0</v>
      </c>
    </row>
    <row r="104" ht="18" customHeight="1">
      <c r="A104" s="30" t="n">
        <v>773</v>
      </c>
      <c r="B104" s="13" t="inlineStr">
        <is>
          <t>Titleist Small Wheeled Travel Cover</t>
        </is>
      </c>
      <c r="C104" s="13" t="inlineStr">
        <is>
          <t>Golf Gloves</t>
        </is>
      </c>
      <c r="D104" s="13" t="inlineStr">
        <is>
          <t>Outdoors</t>
        </is>
      </c>
      <c r="E104" s="17" t="n">
        <v>249.9900055</v>
      </c>
      <c r="F104" s="30" t="inlineStr">
        <is>
          <t>CY</t>
        </is>
      </c>
      <c r="G104" s="16" t="n">
        <v>1.32</v>
      </c>
      <c r="H104" s="16" t="n">
        <v>4.14</v>
      </c>
      <c r="I104" s="14" t="n">
        <v>4</v>
      </c>
      <c r="J104" s="14" t="n">
        <v>10</v>
      </c>
      <c r="K104" s="14" t="n">
        <v>11</v>
      </c>
      <c r="L104" s="63">
        <f>IF(K104&lt;J104, "⚠️ REORDER IMMEDIATELY", IF(K104&gt;2.2*J104, "📦 OVERSTOCKED", "✅ OPTIMAL"))</f>
        <v/>
      </c>
      <c r="M104" s="17" t="n">
        <v>2749.89</v>
      </c>
      <c r="N104" s="17" t="n">
        <v>0</v>
      </c>
      <c r="O104" s="17" t="n">
        <v>0</v>
      </c>
    </row>
    <row r="105" ht="18" customHeight="1">
      <c r="A105" s="31" t="n">
        <v>775</v>
      </c>
      <c r="B105" s="18" t="inlineStr">
        <is>
          <t>Clicgear 8.0 Shoe Brush</t>
        </is>
      </c>
      <c r="C105" s="18" t="inlineStr">
        <is>
          <t>Golf Gloves</t>
        </is>
      </c>
      <c r="D105" s="18" t="inlineStr">
        <is>
          <t>Outdoors</t>
        </is>
      </c>
      <c r="E105" s="22" t="n">
        <v>9.989999771000001</v>
      </c>
      <c r="F105" s="31" t="inlineStr">
        <is>
          <t>CY</t>
        </is>
      </c>
      <c r="G105" s="21" t="n">
        <v>3.65</v>
      </c>
      <c r="H105" s="21" t="n">
        <v>3.96</v>
      </c>
      <c r="I105" s="19" t="n">
        <v>12</v>
      </c>
      <c r="J105" s="19" t="n">
        <v>27</v>
      </c>
      <c r="K105" s="19" t="n">
        <v>27</v>
      </c>
      <c r="L105" s="63">
        <f>IF(K105&lt;J105, "⚠️ REORDER IMMEDIATELY", IF(K105&gt;2.2*J105, "📦 OVERSTOCKED", "✅ OPTIMAL"))</f>
        <v/>
      </c>
      <c r="M105" s="22" t="n">
        <v>269.73</v>
      </c>
      <c r="N105" s="22" t="n">
        <v>0</v>
      </c>
      <c r="O105" s="22" t="n">
        <v>0</v>
      </c>
    </row>
    <row r="106" ht="18" customHeight="1">
      <c r="A106" s="30" t="n">
        <v>777</v>
      </c>
      <c r="B106" s="13" t="inlineStr">
        <is>
          <t>Bag Boy M330 Push Cart</t>
        </is>
      </c>
      <c r="C106" s="13" t="inlineStr">
        <is>
          <t>Golf Gloves</t>
        </is>
      </c>
      <c r="D106" s="13" t="inlineStr">
        <is>
          <t>Outdoors</t>
        </is>
      </c>
      <c r="E106" s="17" t="n">
        <v>79.98999786</v>
      </c>
      <c r="F106" s="30" t="inlineStr">
        <is>
          <t>CY</t>
        </is>
      </c>
      <c r="G106" s="16" t="n">
        <v>3.71</v>
      </c>
      <c r="H106" s="16" t="n">
        <v>4.14</v>
      </c>
      <c r="I106" s="14" t="n">
        <v>11</v>
      </c>
      <c r="J106" s="14" t="n">
        <v>27</v>
      </c>
      <c r="K106" s="14" t="n">
        <v>42</v>
      </c>
      <c r="L106" s="63">
        <f>IF(K106&lt;J106, "⚠️ REORDER IMMEDIATELY", IF(K106&gt;2.2*J106, "📦 OVERSTOCKED", "✅ OPTIMAL"))</f>
        <v/>
      </c>
      <c r="M106" s="17" t="n">
        <v>3359.58</v>
      </c>
      <c r="N106" s="17" t="n">
        <v>0</v>
      </c>
      <c r="O106" s="17" t="n">
        <v>0</v>
      </c>
    </row>
    <row r="107" ht="18" customHeight="1">
      <c r="A107" s="31" t="n">
        <v>821</v>
      </c>
      <c r="B107" s="18" t="inlineStr">
        <is>
          <t>Titleist Pro V1 High Numbers Personalized Gol</t>
        </is>
      </c>
      <c r="C107" s="18" t="inlineStr">
        <is>
          <t>Electronics</t>
        </is>
      </c>
      <c r="D107" s="18" t="inlineStr">
        <is>
          <t>Outdoors</t>
        </is>
      </c>
      <c r="E107" s="22" t="n">
        <v>51.99000168</v>
      </c>
      <c r="F107" s="31" t="inlineStr">
        <is>
          <t>CY</t>
        </is>
      </c>
      <c r="G107" s="21" t="n">
        <v>3.4</v>
      </c>
      <c r="H107" s="21" t="n">
        <v>3.99</v>
      </c>
      <c r="I107" s="19" t="n">
        <v>11</v>
      </c>
      <c r="J107" s="19" t="n">
        <v>25</v>
      </c>
      <c r="K107" s="19" t="n">
        <v>47</v>
      </c>
      <c r="L107" s="63">
        <f>IF(K107&lt;J107, "⚠️ REORDER IMMEDIATELY", IF(K107&gt;2.2*J107, "📦 OVERSTOCKED", "✅ OPTIMAL"))</f>
        <v/>
      </c>
      <c r="M107" s="22" t="n">
        <v>2443.53</v>
      </c>
      <c r="N107" s="22" t="n">
        <v>0</v>
      </c>
      <c r="O107" s="22" t="n">
        <v>0</v>
      </c>
    </row>
    <row r="108" ht="18" customHeight="1">
      <c r="A108" s="30" t="n">
        <v>822</v>
      </c>
      <c r="B108" s="13" t="inlineStr">
        <is>
          <t>Titleist Pro V1x High Numbers Golf Balls</t>
        </is>
      </c>
      <c r="C108" s="13" t="inlineStr">
        <is>
          <t>Electronics</t>
        </is>
      </c>
      <c r="D108" s="13" t="inlineStr">
        <is>
          <t>Outdoors</t>
        </is>
      </c>
      <c r="E108" s="17" t="n">
        <v>47.99000168</v>
      </c>
      <c r="F108" s="30" t="inlineStr">
        <is>
          <t>CY</t>
        </is>
      </c>
      <c r="G108" s="16" t="n">
        <v>3.52</v>
      </c>
      <c r="H108" s="16" t="n">
        <v>3.99</v>
      </c>
      <c r="I108" s="14" t="n">
        <v>11</v>
      </c>
      <c r="J108" s="14" t="n">
        <v>26</v>
      </c>
      <c r="K108" s="14" t="n">
        <v>50</v>
      </c>
      <c r="L108" s="63">
        <f>IF(K108&lt;J108, "⚠️ REORDER IMMEDIATELY", IF(K108&gt;2.2*J108, "📦 OVERSTOCKED", "✅ OPTIMAL"))</f>
        <v/>
      </c>
      <c r="M108" s="17" t="n">
        <v>2399.5</v>
      </c>
      <c r="N108" s="17" t="n">
        <v>0</v>
      </c>
      <c r="O108" s="17" t="n">
        <v>0</v>
      </c>
    </row>
    <row r="109" ht="18" customHeight="1">
      <c r="A109" s="31" t="n">
        <v>828</v>
      </c>
      <c r="B109" s="18" t="inlineStr">
        <is>
          <t>Bridgestone e6 Straight Distance NFL San Dieg</t>
        </is>
      </c>
      <c r="C109" s="18" t="inlineStr">
        <is>
          <t>Electronics</t>
        </is>
      </c>
      <c r="D109" s="18" t="inlineStr">
        <is>
          <t>Outdoors</t>
        </is>
      </c>
      <c r="E109" s="22" t="n">
        <v>31.98999977</v>
      </c>
      <c r="F109" s="31" t="inlineStr">
        <is>
          <t>CY</t>
        </is>
      </c>
      <c r="G109" s="21" t="n">
        <v>3.57</v>
      </c>
      <c r="H109" s="21" t="n">
        <v>3.99</v>
      </c>
      <c r="I109" s="19" t="n">
        <v>11</v>
      </c>
      <c r="J109" s="19" t="n">
        <v>26</v>
      </c>
      <c r="K109" s="19" t="n">
        <v>30</v>
      </c>
      <c r="L109" s="63">
        <f>IF(K109&lt;J109, "⚠️ REORDER IMMEDIATELY", IF(K109&gt;2.2*J109, "📦 OVERSTOCKED", "✅ OPTIMAL"))</f>
        <v/>
      </c>
      <c r="M109" s="22" t="n">
        <v>959.7</v>
      </c>
      <c r="N109" s="22" t="n">
        <v>0</v>
      </c>
      <c r="O109" s="22" t="n">
        <v>0</v>
      </c>
    </row>
    <row r="110" ht="18" customHeight="1">
      <c r="A110" s="30" t="n">
        <v>858</v>
      </c>
      <c r="B110" s="13" t="inlineStr">
        <is>
          <t>GolfBuddy VT3 GPS Watch</t>
        </is>
      </c>
      <c r="C110" s="13" t="inlineStr">
        <is>
          <t>Kids' Golf Clubs</t>
        </is>
      </c>
      <c r="D110" s="13" t="inlineStr">
        <is>
          <t>Outdoors</t>
        </is>
      </c>
      <c r="E110" s="17" t="n">
        <v>199.9900055</v>
      </c>
      <c r="F110" s="30" t="inlineStr">
        <is>
          <t>CX</t>
        </is>
      </c>
      <c r="G110" s="16" t="n">
        <v>1.13</v>
      </c>
      <c r="H110" s="16" t="n">
        <v>4.18</v>
      </c>
      <c r="I110" s="14" t="n">
        <v>3</v>
      </c>
      <c r="J110" s="14" t="n">
        <v>8</v>
      </c>
      <c r="K110" s="14" t="n">
        <v>14</v>
      </c>
      <c r="L110" s="63">
        <f>IF(K110&lt;J110, "⚠️ REORDER IMMEDIATELY", IF(K110&gt;2.2*J110, "📦 OVERSTOCKED", "✅ OPTIMAL"))</f>
        <v/>
      </c>
      <c r="M110" s="17" t="n">
        <v>2799.86</v>
      </c>
      <c r="N110" s="17" t="n">
        <v>0</v>
      </c>
      <c r="O110" s="17" t="n">
        <v>0</v>
      </c>
    </row>
    <row r="111" ht="18" customHeight="1">
      <c r="A111" s="31" t="n">
        <v>860</v>
      </c>
      <c r="B111" s="18" t="inlineStr">
        <is>
          <t>Bushnell Pro X7 Jolt Slope Rangefinder</t>
        </is>
      </c>
      <c r="C111" s="18" t="inlineStr">
        <is>
          <t>Kids' Golf Clubs</t>
        </is>
      </c>
      <c r="D111" s="18" t="inlineStr">
        <is>
          <t>Outdoors</t>
        </is>
      </c>
      <c r="E111" s="22" t="n">
        <v>599.9899902</v>
      </c>
      <c r="F111" s="31" t="inlineStr">
        <is>
          <t>CZ</t>
        </is>
      </c>
      <c r="G111" s="21" t="n">
        <v>3.67</v>
      </c>
      <c r="H111" s="21" t="n">
        <v>4.16</v>
      </c>
      <c r="I111" s="19" t="n">
        <v>12</v>
      </c>
      <c r="J111" s="19" t="n">
        <v>28</v>
      </c>
      <c r="K111" s="19" t="n">
        <v>31</v>
      </c>
      <c r="L111" s="63">
        <f>IF(K111&lt;J111, "⚠️ REORDER IMMEDIATELY", IF(K111&gt;2.2*J111, "📦 OVERSTOCKED", "✅ OPTIMAL"))</f>
        <v/>
      </c>
      <c r="M111" s="22" t="n">
        <v>18599.69</v>
      </c>
      <c r="N111" s="22" t="n">
        <v>0</v>
      </c>
      <c r="O111" s="22" t="n">
        <v>0</v>
      </c>
    </row>
    <row r="112" ht="18" customHeight="1">
      <c r="A112" s="30" t="n">
        <v>886</v>
      </c>
      <c r="B112" s="13" t="inlineStr">
        <is>
          <t>Team Golf San Francisco Giants Putter Grip</t>
        </is>
      </c>
      <c r="C112" s="13" t="inlineStr">
        <is>
          <t>Accessories</t>
        </is>
      </c>
      <c r="D112" s="13" t="inlineStr">
        <is>
          <t>Outdoors</t>
        </is>
      </c>
      <c r="E112" s="17" t="n">
        <v>24.98999977</v>
      </c>
      <c r="F112" s="30" t="inlineStr">
        <is>
          <t>CY</t>
        </is>
      </c>
      <c r="G112" s="16" t="n">
        <v>3.58</v>
      </c>
      <c r="H112" s="16" t="n">
        <v>4</v>
      </c>
      <c r="I112" s="14" t="n">
        <v>11</v>
      </c>
      <c r="J112" s="14" t="n">
        <v>26</v>
      </c>
      <c r="K112" s="14" t="n">
        <v>27</v>
      </c>
      <c r="L112" s="63">
        <f>IF(K112&lt;J112, "⚠️ REORDER IMMEDIATELY", IF(K112&gt;2.2*J112, "📦 OVERSTOCKED", "✅ OPTIMAL"))</f>
        <v/>
      </c>
      <c r="M112" s="17" t="n">
        <v>674.73</v>
      </c>
      <c r="N112" s="17" t="n">
        <v>0</v>
      </c>
      <c r="O112" s="17" t="n">
        <v>0</v>
      </c>
    </row>
    <row r="113" ht="18" customHeight="1">
      <c r="A113" s="31" t="n">
        <v>893</v>
      </c>
      <c r="B113" s="18" t="inlineStr">
        <is>
          <t>Team Golf Pittsburgh Steelers Putter Grip</t>
        </is>
      </c>
      <c r="C113" s="18" t="inlineStr">
        <is>
          <t>Accessories</t>
        </is>
      </c>
      <c r="D113" s="18" t="inlineStr">
        <is>
          <t>Outdoors</t>
        </is>
      </c>
      <c r="E113" s="22" t="n">
        <v>24.98999977</v>
      </c>
      <c r="F113" s="31" t="inlineStr">
        <is>
          <t>CY</t>
        </is>
      </c>
      <c r="G113" s="21" t="n">
        <v>3.59</v>
      </c>
      <c r="H113" s="21" t="n">
        <v>4</v>
      </c>
      <c r="I113" s="19" t="n">
        <v>11</v>
      </c>
      <c r="J113" s="19" t="n">
        <v>26</v>
      </c>
      <c r="K113" s="19" t="n">
        <v>28</v>
      </c>
      <c r="L113" s="63">
        <f>IF(K113&lt;J113, "⚠️ REORDER IMMEDIATELY", IF(K113&gt;2.2*J113, "📦 OVERSTOCKED", "✅ OPTIMAL"))</f>
        <v/>
      </c>
      <c r="M113" s="22" t="n">
        <v>699.72</v>
      </c>
      <c r="N113" s="22" t="n">
        <v>0</v>
      </c>
      <c r="O113" s="22" t="n">
        <v>0</v>
      </c>
    </row>
    <row r="114" ht="18" customHeight="1">
      <c r="A114" s="30" t="n">
        <v>897</v>
      </c>
      <c r="B114" s="13" t="inlineStr">
        <is>
          <t>Team Golf New England Patriots Putter Grip</t>
        </is>
      </c>
      <c r="C114" s="13" t="inlineStr">
        <is>
          <t>Accessories</t>
        </is>
      </c>
      <c r="D114" s="13" t="inlineStr">
        <is>
          <t>Outdoors</t>
        </is>
      </c>
      <c r="E114" s="17" t="n">
        <v>24.98999977</v>
      </c>
      <c r="F114" s="30" t="inlineStr">
        <is>
          <t>CY</t>
        </is>
      </c>
      <c r="G114" s="16" t="n">
        <v>3.41</v>
      </c>
      <c r="H114" s="16" t="n">
        <v>4</v>
      </c>
      <c r="I114" s="14" t="n">
        <v>11</v>
      </c>
      <c r="J114" s="14" t="n">
        <v>25</v>
      </c>
      <c r="K114" s="14" t="n">
        <v>48</v>
      </c>
      <c r="L114" s="63">
        <f>IF(K114&lt;J114, "⚠️ REORDER IMMEDIATELY", IF(K114&gt;2.2*J114, "📦 OVERSTOCKED", "✅ OPTIMAL"))</f>
        <v/>
      </c>
      <c r="M114" s="17" t="n">
        <v>1199.52</v>
      </c>
      <c r="N114" s="17" t="n">
        <v>0</v>
      </c>
      <c r="O114" s="17" t="n">
        <v>0</v>
      </c>
    </row>
    <row r="115" ht="18" customHeight="1">
      <c r="A115" s="31" t="n">
        <v>905</v>
      </c>
      <c r="B115" s="18" t="inlineStr">
        <is>
          <t>Team Golf Texas Longhorns Putter Grip</t>
        </is>
      </c>
      <c r="C115" s="18" t="inlineStr">
        <is>
          <t>Accessories</t>
        </is>
      </c>
      <c r="D115" s="18" t="inlineStr">
        <is>
          <t>Outdoors</t>
        </is>
      </c>
      <c r="E115" s="22" t="n">
        <v>24.98999977</v>
      </c>
      <c r="F115" s="31" t="inlineStr">
        <is>
          <t>CY</t>
        </is>
      </c>
      <c r="G115" s="21" t="n">
        <v>3.39</v>
      </c>
      <c r="H115" s="21" t="n">
        <v>4</v>
      </c>
      <c r="I115" s="19" t="n">
        <v>11</v>
      </c>
      <c r="J115" s="19" t="n">
        <v>25</v>
      </c>
      <c r="K115" s="19" t="n">
        <v>43</v>
      </c>
      <c r="L115" s="63">
        <f>IF(K115&lt;J115, "⚠️ REORDER IMMEDIATELY", IF(K115&gt;2.2*J115, "📦 OVERSTOCKED", "✅ OPTIMAL"))</f>
        <v/>
      </c>
      <c r="M115" s="22" t="n">
        <v>1074.57</v>
      </c>
      <c r="N115" s="22" t="n">
        <v>0</v>
      </c>
      <c r="O115" s="22" t="n">
        <v>0</v>
      </c>
    </row>
    <row r="116" ht="18" customHeight="1">
      <c r="A116" s="30" t="n">
        <v>917</v>
      </c>
      <c r="B116" s="13" t="inlineStr">
        <is>
          <t>Glove It Women's Mod Oval 3-Zip Carry All Gol</t>
        </is>
      </c>
      <c r="C116" s="13" t="inlineStr">
        <is>
          <t>Trade-In</t>
        </is>
      </c>
      <c r="D116" s="13" t="inlineStr">
        <is>
          <t>Outdoors</t>
        </is>
      </c>
      <c r="E116" s="17" t="n">
        <v>21.98999977</v>
      </c>
      <c r="F116" s="30" t="inlineStr">
        <is>
          <t>CY</t>
        </is>
      </c>
      <c r="G116" s="16" t="n">
        <v>3.59</v>
      </c>
      <c r="H116" s="16" t="n">
        <v>3.96</v>
      </c>
      <c r="I116" s="14" t="n">
        <v>12</v>
      </c>
      <c r="J116" s="14" t="n">
        <v>27</v>
      </c>
      <c r="K116" s="14" t="n">
        <v>38</v>
      </c>
      <c r="L116" s="63">
        <f>IF(K116&lt;J116, "⚠️ REORDER IMMEDIATELY", IF(K116&gt;2.2*J116, "📦 OVERSTOCKED", "✅ OPTIMAL"))</f>
        <v/>
      </c>
      <c r="M116" s="17" t="n">
        <v>835.62</v>
      </c>
      <c r="N116" s="17" t="n">
        <v>0</v>
      </c>
      <c r="O116" s="17" t="n">
        <v>0</v>
      </c>
    </row>
    <row r="117" ht="18" customHeight="1">
      <c r="A117" s="31" t="n">
        <v>926</v>
      </c>
      <c r="B117" s="18" t="inlineStr">
        <is>
          <t>Glove It Imperial Golf Towel</t>
        </is>
      </c>
      <c r="C117" s="18" t="inlineStr">
        <is>
          <t>Trade-In</t>
        </is>
      </c>
      <c r="D117" s="18" t="inlineStr">
        <is>
          <t>Outdoors</t>
        </is>
      </c>
      <c r="E117" s="22" t="n">
        <v>15.98999977</v>
      </c>
      <c r="F117" s="31" t="inlineStr">
        <is>
          <t>CY</t>
        </is>
      </c>
      <c r="G117" s="21" t="n">
        <v>3.72</v>
      </c>
      <c r="H117" s="21" t="n">
        <v>3.75</v>
      </c>
      <c r="I117" s="19" t="n">
        <v>11</v>
      </c>
      <c r="J117" s="19" t="n">
        <v>25</v>
      </c>
      <c r="K117" s="19" t="n">
        <v>47</v>
      </c>
      <c r="L117" s="63">
        <f>IF(K117&lt;J117, "⚠️ REORDER IMMEDIATELY", IF(K117&gt;2.2*J117, "📦 OVERSTOCKED", "✅ OPTIMAL"))</f>
        <v/>
      </c>
      <c r="M117" s="22" t="n">
        <v>751.53</v>
      </c>
      <c r="N117" s="22" t="n">
        <v>0</v>
      </c>
      <c r="O117" s="22" t="n">
        <v>0</v>
      </c>
    </row>
    <row r="118" ht="18" customHeight="1">
      <c r="A118" s="30" t="n">
        <v>957</v>
      </c>
      <c r="B118" s="13" t="inlineStr">
        <is>
          <t>Diamondback Women's Serene Classic Comfort Bi</t>
        </is>
      </c>
      <c r="C118" s="13" t="inlineStr">
        <is>
          <t>Camping &amp; Hiking</t>
        </is>
      </c>
      <c r="D118" s="13" t="inlineStr">
        <is>
          <t>Fan Shop</t>
        </is>
      </c>
      <c r="E118" s="17" t="n">
        <v>299.980011</v>
      </c>
      <c r="F118" s="30" t="inlineStr">
        <is>
          <t>AX</t>
        </is>
      </c>
      <c r="G118" s="16" t="n">
        <v>13.65</v>
      </c>
      <c r="H118" s="16" t="n">
        <v>4.03</v>
      </c>
      <c r="I118" s="14" t="n">
        <v>35</v>
      </c>
      <c r="J118" s="14" t="n">
        <v>91</v>
      </c>
      <c r="K118" s="14" t="n">
        <v>182</v>
      </c>
      <c r="L118" s="63">
        <f>IF(K118&lt;J118, "⚠️ REORDER IMMEDIATELY", IF(K118&gt;2.2*J118, "📦 OVERSTOCKED", "✅ OPTIMAL"))</f>
        <v/>
      </c>
      <c r="M118" s="17" t="n">
        <v>54596.36</v>
      </c>
      <c r="N118" s="17" t="n">
        <v>0</v>
      </c>
      <c r="O118" s="17" t="n">
        <v>0</v>
      </c>
    </row>
    <row r="119" ht="18" customHeight="1">
      <c r="A119" s="31" t="n">
        <v>977</v>
      </c>
      <c r="B119" s="18" t="inlineStr">
        <is>
          <t>ENO Atlas Hammock Straps</t>
        </is>
      </c>
      <c r="C119" s="18" t="inlineStr">
        <is>
          <t>Hunting &amp; Shooting</t>
        </is>
      </c>
      <c r="D119" s="18" t="inlineStr">
        <is>
          <t>Fan Shop</t>
        </is>
      </c>
      <c r="E119" s="22" t="n">
        <v>29.98999977</v>
      </c>
      <c r="F119" s="31" t="inlineStr">
        <is>
          <t>CY</t>
        </is>
      </c>
      <c r="G119" s="21" t="n">
        <v>3.7</v>
      </c>
      <c r="H119" s="21" t="n">
        <v>3.9</v>
      </c>
      <c r="I119" s="19" t="n">
        <v>11</v>
      </c>
      <c r="J119" s="19" t="n">
        <v>26</v>
      </c>
      <c r="K119" s="19" t="n">
        <v>41</v>
      </c>
      <c r="L119" s="63">
        <f>IF(K119&lt;J119, "⚠️ REORDER IMMEDIATELY", IF(K119&gt;2.2*J119, "📦 OVERSTOCKED", "✅ OPTIMAL"))</f>
        <v/>
      </c>
      <c r="M119" s="22" t="n">
        <v>1229.59</v>
      </c>
      <c r="N119" s="22" t="n">
        <v>0</v>
      </c>
      <c r="O119" s="22" t="n">
        <v>0</v>
      </c>
    </row>
    <row r="120" ht="18" customHeight="1">
      <c r="A120" s="30" t="n">
        <v>982</v>
      </c>
      <c r="B120" s="13" t="inlineStr">
        <is>
          <t>insta-bed Neverflat Air Mattress</t>
        </is>
      </c>
      <c r="C120" s="13" t="inlineStr">
        <is>
          <t>Hunting &amp; Shooting</t>
        </is>
      </c>
      <c r="D120" s="13" t="inlineStr">
        <is>
          <t>Fan Shop</t>
        </is>
      </c>
      <c r="E120" s="17" t="n">
        <v>149.9900055</v>
      </c>
      <c r="F120" s="30" t="inlineStr">
        <is>
          <t>CY</t>
        </is>
      </c>
      <c r="G120" s="16" t="n">
        <v>1.22</v>
      </c>
      <c r="H120" s="16" t="n">
        <v>3.96</v>
      </c>
      <c r="I120" s="14" t="n">
        <v>4</v>
      </c>
      <c r="J120" s="14" t="n">
        <v>9</v>
      </c>
      <c r="K120" s="14" t="n">
        <v>13</v>
      </c>
      <c r="L120" s="63">
        <f>IF(K120&lt;J120, "⚠️ REORDER IMMEDIATELY", IF(K120&gt;2.2*J120, "📦 OVERSTOCKED", "✅ OPTIMAL"))</f>
        <v/>
      </c>
      <c r="M120" s="17" t="n">
        <v>1949.87</v>
      </c>
      <c r="N120" s="17" t="n">
        <v>0</v>
      </c>
      <c r="O120" s="17" t="n">
        <v>0</v>
      </c>
    </row>
    <row r="121" ht="18" customHeight="1">
      <c r="A121" s="31" t="n">
        <v>1004</v>
      </c>
      <c r="B121" s="18" t="inlineStr">
        <is>
          <t>Field &amp; Stream Sportsman 16 Gun Fire Safe</t>
        </is>
      </c>
      <c r="C121" s="18" t="inlineStr">
        <is>
          <t>Fishing</t>
        </is>
      </c>
      <c r="D121" s="18" t="inlineStr">
        <is>
          <t>Fan Shop</t>
        </is>
      </c>
      <c r="E121" s="22" t="n">
        <v>399.980011</v>
      </c>
      <c r="F121" s="31" t="inlineStr">
        <is>
          <t>AX</t>
        </is>
      </c>
      <c r="G121" s="21" t="n">
        <v>17.22</v>
      </c>
      <c r="H121" s="21" t="n">
        <v>3.99</v>
      </c>
      <c r="I121" s="19" t="n">
        <v>43</v>
      </c>
      <c r="J121" s="19" t="n">
        <v>112</v>
      </c>
      <c r="K121" s="19" t="n">
        <v>168</v>
      </c>
      <c r="L121" s="63">
        <f>IF(K121&lt;J121, "⚠️ REORDER IMMEDIATELY", IF(K121&gt;2.2*J121, "📦 OVERSTOCKED", "✅ OPTIMAL"))</f>
        <v/>
      </c>
      <c r="M121" s="22" t="n">
        <v>67196.64</v>
      </c>
      <c r="N121" s="22" t="n">
        <v>0</v>
      </c>
      <c r="O121" s="22" t="n">
        <v>0</v>
      </c>
    </row>
    <row r="122" ht="18" customHeight="1">
      <c r="A122" s="30" t="n">
        <v>1014</v>
      </c>
      <c r="B122" s="13" t="inlineStr">
        <is>
          <t>O'Brien Men's Neoprene Life Vest</t>
        </is>
      </c>
      <c r="C122" s="13" t="inlineStr">
        <is>
          <t>Indoor/Outdoor Games</t>
        </is>
      </c>
      <c r="D122" s="13" t="inlineStr">
        <is>
          <t>Fan Shop</t>
        </is>
      </c>
      <c r="E122" s="17" t="n">
        <v>49.97999954</v>
      </c>
      <c r="F122" s="30" t="inlineStr">
        <is>
          <t>AX</t>
        </is>
      </c>
      <c r="G122" s="16" t="n">
        <v>57.46</v>
      </c>
      <c r="H122" s="16" t="n">
        <v>4.02</v>
      </c>
      <c r="I122" s="14" t="n">
        <v>143</v>
      </c>
      <c r="J122" s="14" t="n">
        <v>374</v>
      </c>
      <c r="K122" s="14" t="n">
        <v>485</v>
      </c>
      <c r="L122" s="63">
        <f>IF(K122&lt;J122, "⚠️ REORDER IMMEDIATELY", IF(K122&gt;2.2*J122, "📦 OVERSTOCKED", "✅ OPTIMAL"))</f>
        <v/>
      </c>
      <c r="M122" s="17" t="n">
        <v>24240.3</v>
      </c>
      <c r="N122" s="17" t="n">
        <v>0</v>
      </c>
      <c r="O122" s="17" t="n">
        <v>0</v>
      </c>
    </row>
    <row r="123" ht="18" customHeight="1">
      <c r="A123" s="31" t="n">
        <v>1347</v>
      </c>
      <c r="B123" s="18" t="inlineStr">
        <is>
          <t>Baby sweater</t>
        </is>
      </c>
      <c r="C123" s="18" t="inlineStr">
        <is>
          <t xml:space="preserve">Baby </t>
        </is>
      </c>
      <c r="D123" s="18" t="inlineStr">
        <is>
          <t>Apparel</t>
        </is>
      </c>
      <c r="E123" s="22" t="n">
        <v>59.08000183</v>
      </c>
      <c r="F123" s="31" t="inlineStr">
        <is>
          <t>CZ</t>
        </is>
      </c>
      <c r="G123" s="21" t="n">
        <v>41.4</v>
      </c>
      <c r="H123" s="21" t="n">
        <v>3.97</v>
      </c>
      <c r="I123" s="19" t="n">
        <v>137</v>
      </c>
      <c r="J123" s="19" t="n">
        <v>302</v>
      </c>
      <c r="K123" s="19" t="n">
        <v>524</v>
      </c>
      <c r="L123" s="63">
        <f>IF(K123&lt;J123, "⚠️ REORDER IMMEDIATELY", IF(K123&gt;2.2*J123, "📦 OVERSTOCKED", "✅ OPTIMAL"))</f>
        <v/>
      </c>
      <c r="M123" s="22" t="n">
        <v>30957.92</v>
      </c>
      <c r="N123" s="22" t="n">
        <v>0</v>
      </c>
      <c r="O123" s="22" t="n">
        <v>0</v>
      </c>
    </row>
    <row r="124" ht="18" customHeight="1">
      <c r="A124" s="30" t="n">
        <v>1348</v>
      </c>
      <c r="B124" s="13" t="inlineStr">
        <is>
          <t>CDs of rock</t>
        </is>
      </c>
      <c r="C124" s="13" t="inlineStr">
        <is>
          <t xml:space="preserve">CDs </t>
        </is>
      </c>
      <c r="D124" s="13" t="inlineStr">
        <is>
          <t>Discs Shop</t>
        </is>
      </c>
      <c r="E124" s="17" t="n">
        <v>11.28999996</v>
      </c>
      <c r="F124" s="30" t="inlineStr">
        <is>
          <t>CZ</t>
        </is>
      </c>
      <c r="G124" s="16" t="n">
        <v>45.17</v>
      </c>
      <c r="H124" s="16" t="n">
        <v>3.98</v>
      </c>
      <c r="I124" s="14" t="n">
        <v>139</v>
      </c>
      <c r="J124" s="14" t="n">
        <v>319</v>
      </c>
      <c r="K124" s="14" t="n">
        <v>338</v>
      </c>
      <c r="L124" s="63">
        <f>IF(K124&lt;J124, "⚠️ REORDER IMMEDIATELY", IF(K124&gt;2.2*J124, "📦 OVERSTOCKED", "✅ OPTIMAL"))</f>
        <v/>
      </c>
      <c r="M124" s="17" t="n">
        <v>3816.02</v>
      </c>
      <c r="N124" s="17" t="n">
        <v>0</v>
      </c>
      <c r="O124" s="17" t="n">
        <v>0</v>
      </c>
    </row>
    <row r="125" ht="18" customHeight="1">
      <c r="A125" s="31" t="n">
        <v>1349</v>
      </c>
      <c r="B125" s="18" t="inlineStr">
        <is>
          <t>Web Camera</t>
        </is>
      </c>
      <c r="C125" s="18" t="inlineStr">
        <is>
          <t xml:space="preserve">Cameras </t>
        </is>
      </c>
      <c r="D125" s="18" t="inlineStr">
        <is>
          <t>Technology</t>
        </is>
      </c>
      <c r="E125" s="22" t="n">
        <v>452.0400085</v>
      </c>
      <c r="F125" s="31" t="inlineStr">
        <is>
          <t>BZ</t>
        </is>
      </c>
      <c r="G125" s="21" t="n">
        <v>59.2</v>
      </c>
      <c r="H125" s="21" t="n">
        <v>3.93</v>
      </c>
      <c r="I125" s="19" t="n">
        <v>149</v>
      </c>
      <c r="J125" s="19" t="n">
        <v>382</v>
      </c>
      <c r="K125" s="19" t="n">
        <v>561</v>
      </c>
      <c r="L125" s="63">
        <f>IF(K125&lt;J125, "⚠️ REORDER IMMEDIATELY", IF(K125&gt;2.2*J125, "📦 OVERSTOCKED", "✅ OPTIMAL"))</f>
        <v/>
      </c>
      <c r="M125" s="22" t="n">
        <v>253594.44</v>
      </c>
      <c r="N125" s="22" t="n">
        <v>0</v>
      </c>
      <c r="O125" s="22" t="n">
        <v>0</v>
      </c>
    </row>
    <row r="126" ht="18" customHeight="1">
      <c r="A126" s="30" t="n">
        <v>1352</v>
      </c>
      <c r="B126" s="13" t="inlineStr">
        <is>
          <t>Industrial consumer electronics</t>
        </is>
      </c>
      <c r="C126" s="13" t="inlineStr">
        <is>
          <t>Consumer Electronics</t>
        </is>
      </c>
      <c r="D126" s="13" t="inlineStr">
        <is>
          <t>Technology</t>
        </is>
      </c>
      <c r="E126" s="17" t="n">
        <v>252.8800049</v>
      </c>
      <c r="F126" s="30" t="inlineStr">
        <is>
          <t>BZ</t>
        </is>
      </c>
      <c r="G126" s="16" t="n">
        <v>53.88</v>
      </c>
      <c r="H126" s="16" t="n">
        <v>3.85</v>
      </c>
      <c r="I126" s="14" t="n">
        <v>141</v>
      </c>
      <c r="J126" s="14" t="n">
        <v>349</v>
      </c>
      <c r="K126" s="14" t="n">
        <v>440</v>
      </c>
      <c r="L126" s="63">
        <f>IF(K126&lt;J126, "⚠️ REORDER IMMEDIATELY", IF(K126&gt;2.2*J126, "📦 OVERSTOCKED", "✅ OPTIMAL"))</f>
        <v/>
      </c>
      <c r="M126" s="17" t="n">
        <v>111267.2</v>
      </c>
      <c r="N126" s="17" t="n">
        <v>0</v>
      </c>
      <c r="O126" s="17" t="n">
        <v>0</v>
      </c>
    </row>
    <row r="127" ht="18" customHeight="1">
      <c r="A127" s="31" t="n">
        <v>1353</v>
      </c>
      <c r="B127" s="18" t="inlineStr">
        <is>
          <t>Porcelain crafts</t>
        </is>
      </c>
      <c r="C127" s="18" t="inlineStr">
        <is>
          <t>Crafts</t>
        </is>
      </c>
      <c r="D127" s="18" t="inlineStr">
        <is>
          <t>Apparel</t>
        </is>
      </c>
      <c r="E127" s="22" t="n">
        <v>461.480011</v>
      </c>
      <c r="F127" s="31" t="inlineStr">
        <is>
          <t>BZ</t>
        </is>
      </c>
      <c r="G127" s="21" t="n">
        <v>53.78</v>
      </c>
      <c r="H127" s="21" t="n">
        <v>4.06</v>
      </c>
      <c r="I127" s="19" t="n">
        <v>144</v>
      </c>
      <c r="J127" s="19" t="n">
        <v>363</v>
      </c>
      <c r="K127" s="19" t="n">
        <v>721</v>
      </c>
      <c r="L127" s="63">
        <f>IF(K127&lt;J127, "⚠️ REORDER IMMEDIATELY", IF(K127&gt;2.2*J127, "📦 OVERSTOCKED", "✅ OPTIMAL"))</f>
        <v/>
      </c>
      <c r="M127" s="22" t="n">
        <v>332727.09</v>
      </c>
      <c r="N127" s="22" t="n">
        <v>0</v>
      </c>
      <c r="O127" s="22" t="n">
        <v>0</v>
      </c>
    </row>
    <row r="128" ht="18" customHeight="1">
      <c r="A128" s="30" t="n">
        <v>1356</v>
      </c>
      <c r="B128" s="13" t="inlineStr">
        <is>
          <t>First aid kit</t>
        </is>
      </c>
      <c r="C128" s="13" t="inlineStr">
        <is>
          <t>Health and Beauty</t>
        </is>
      </c>
      <c r="D128" s="13" t="inlineStr">
        <is>
          <t xml:space="preserve">Health and Beauty </t>
        </is>
      </c>
      <c r="E128" s="17" t="n">
        <v>293.0400085</v>
      </c>
      <c r="F128" s="30" t="inlineStr">
        <is>
          <t>BZ</t>
        </is>
      </c>
      <c r="G128" s="16" t="n">
        <v>45.25</v>
      </c>
      <c r="H128" s="16" t="n">
        <v>4.01</v>
      </c>
      <c r="I128" s="14" t="n">
        <v>135</v>
      </c>
      <c r="J128" s="14" t="n">
        <v>317</v>
      </c>
      <c r="K128" s="14" t="n">
        <v>320</v>
      </c>
      <c r="L128" s="63">
        <f>IF(K128&lt;J128, "⚠️ REORDER IMMEDIATELY", IF(K128&gt;2.2*J128, "📦 OVERSTOCKED", "✅ OPTIMAL"))</f>
        <v/>
      </c>
      <c r="M128" s="17" t="n">
        <v>93772.8</v>
      </c>
      <c r="N128" s="17" t="n">
        <v>0</v>
      </c>
      <c r="O128" s="17" t="n">
        <v>0</v>
      </c>
    </row>
    <row r="129" ht="18" customHeight="1">
      <c r="A129" s="31" t="n">
        <v>1360</v>
      </c>
      <c r="B129" s="18" t="inlineStr">
        <is>
          <t xml:space="preserve">Smart watch </t>
        </is>
      </c>
      <c r="C129" s="18" t="inlineStr">
        <is>
          <t>Sporting Goods</t>
        </is>
      </c>
      <c r="D129" s="18" t="inlineStr">
        <is>
          <t>Fitness</t>
        </is>
      </c>
      <c r="E129" s="22" t="n">
        <v>327.75</v>
      </c>
      <c r="F129" s="31" t="inlineStr">
        <is>
          <t>BY</t>
        </is>
      </c>
      <c r="G129" s="21" t="n">
        <v>44.62</v>
      </c>
      <c r="H129" s="21" t="n">
        <v>3.98</v>
      </c>
      <c r="I129" s="19" t="n">
        <v>136</v>
      </c>
      <c r="J129" s="19" t="n">
        <v>314</v>
      </c>
      <c r="K129" s="19" t="n">
        <v>543</v>
      </c>
      <c r="L129" s="63">
        <f>IF(K129&lt;J129, "⚠️ REORDER IMMEDIATELY", IF(K129&gt;2.2*J129, "📦 OVERSTOCKED", "✅ OPTIMAL"))</f>
        <v/>
      </c>
      <c r="M129" s="22" t="n">
        <v>177968.25</v>
      </c>
      <c r="N129" s="22" t="n">
        <v>0</v>
      </c>
      <c r="O129" s="22" t="n">
        <v>0</v>
      </c>
    </row>
    <row r="130" ht="20" customHeight="1">
      <c r="A130" s="64" t="inlineStr">
        <is>
          <t>TOTAL PORTFOLIO ALLOCATION</t>
        </is>
      </c>
      <c r="B130" s="64" t="n"/>
      <c r="C130" s="64" t="n"/>
      <c r="D130" s="64" t="n"/>
      <c r="E130" s="64" t="n"/>
      <c r="F130" s="64" t="n"/>
      <c r="G130" s="64" t="n"/>
      <c r="H130" s="64" t="n"/>
      <c r="I130" s="64" t="n"/>
      <c r="J130" s="64" t="n"/>
      <c r="K130" s="26">
        <f>SUM(K12:K129)</f>
        <v/>
      </c>
      <c r="L130" s="64" t="n"/>
      <c r="M130" s="29">
        <f>SUM(M12:M129)</f>
        <v/>
      </c>
      <c r="N130" s="29">
        <f>SUM(N12:N129)</f>
        <v/>
      </c>
      <c r="O130" s="29">
        <f>SUM(O12:O129)</f>
        <v/>
      </c>
    </row>
  </sheetData>
  <mergeCells count="4">
    <mergeCell ref="D5:F5"/>
    <mergeCell ref="B7:F7"/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DATA DICTIONARY, AUDIT LINEAGE &amp; METHODOLOGY ASSUMPTIONS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Complete Governance Catalog, Statistical Formulation, and Operational Assumptions</t>
        </is>
      </c>
      <c r="B2" s="2" t="n"/>
      <c r="C2" s="2" t="n"/>
      <c r="D2" s="2" t="n"/>
      <c r="E2" s="2" t="n"/>
      <c r="F2" s="2" t="n"/>
    </row>
    <row r="3"/>
    <row r="4">
      <c r="A4" s="10" t="inlineStr">
        <is>
          <t>1. MATHEMATICAL FORMULATIONS &amp; INVENTORY LOGIC</t>
        </is>
      </c>
    </row>
    <row r="5" ht="22" customHeight="1">
      <c r="A5" s="33" t="inlineStr">
        <is>
          <t>Metric / Model</t>
        </is>
      </c>
      <c r="B5" s="33" t="inlineStr">
        <is>
          <t>Mathematical Expression</t>
        </is>
      </c>
      <c r="C5" s="33" t="inlineStr">
        <is>
          <t>Supply Chain Interpretation</t>
        </is>
      </c>
    </row>
    <row r="6" ht="24" customHeight="1">
      <c r="A6" s="65" t="inlineStr">
        <is>
          <t>On-Time In-Full (OTIF %)</t>
        </is>
      </c>
      <c r="B6" s="66" t="inlineStr">
        <is>
          <t>OTIF = (Orders where Days_Real &lt;= Days_Scheduled) / Total Orders</t>
        </is>
      </c>
      <c r="C6" s="66" t="inlineStr">
        <is>
          <t>Measures delivery reliability and contract SLA adherence. Lower values indicate carrier underperformance.</t>
        </is>
      </c>
    </row>
    <row r="7" ht="24" customHeight="1">
      <c r="A7" s="67" t="inlineStr">
        <is>
          <t>Pareto ABC Classification</t>
        </is>
      </c>
      <c r="B7" s="68" t="inlineStr">
        <is>
          <t>Cumulative Revenue % = SUM(Product Sales) / Total Enterprise Sales</t>
        </is>
      </c>
      <c r="C7" s="68" t="inlineStr">
        <is>
          <t>Class A: 0-80% revenue. Class B: 80-95% revenue. Class C: 95-100% revenue.</t>
        </is>
      </c>
    </row>
    <row r="8" ht="24" customHeight="1">
      <c r="A8" s="65" t="inlineStr">
        <is>
          <t>Demand Volatility (XYZ)</t>
        </is>
      </c>
      <c r="B8" s="66" t="inlineStr">
        <is>
          <t>CV = sigma_Demand / mu_Demand (Coefficient of Variation)</t>
        </is>
      </c>
      <c r="C8" s="66" t="inlineStr">
        <is>
          <t>Class X (CV &lt;= 0.5): Highly stable. Class Y (0.5 &lt; CV &lt;= 1.0): Variable. Class Z (CV &gt; 1.0): Erratic.</t>
        </is>
      </c>
    </row>
    <row r="9" ht="24" customHeight="1">
      <c r="A9" s="67" t="inlineStr">
        <is>
          <t>Safety Stock Buffer (SS)</t>
        </is>
      </c>
      <c r="B9" s="68" t="inlineStr">
        <is>
          <t>SS = Z * sqrt( (L_bar * sigma_D^2) + (D_bar^2 * sigma_L^2) )</t>
        </is>
      </c>
      <c r="C9" s="68" t="inlineStr">
        <is>
          <t>Stochastic dual-variability formula where Z=1.65 (95% cycle service level), L=lead time, D=daily demand.</t>
        </is>
      </c>
    </row>
    <row r="10" ht="24" customHeight="1">
      <c r="A10" s="65" t="inlineStr">
        <is>
          <t>Reorder Point (ROP)</t>
        </is>
      </c>
      <c r="B10" s="66" t="inlineStr">
        <is>
          <t>ROP = (D_bar * L_bar) + SS</t>
        </is>
      </c>
      <c r="C10" s="66" t="inlineStr">
        <is>
          <t>Inventory replenishment trigger. When on-hand stock falls below ROP, an immediate purchase order is required.</t>
        </is>
      </c>
    </row>
    <row r="11" ht="24" customHeight="1">
      <c r="A11" s="67" t="inlineStr">
        <is>
          <t>Annual Holding Cost</t>
        </is>
      </c>
      <c r="B11" s="68" t="inlineStr">
        <is>
          <t>Holding Cost = Current Inventory Valuation * 20%</t>
        </is>
      </c>
      <c r="C11" s="68" t="inlineStr">
        <is>
          <t>Capital cost of tied-up inventory including warehouse storage, insurance, shrinkage, and opportunity cost.</t>
        </is>
      </c>
    </row>
    <row r="12"/>
    <row r="13"/>
    <row r="14">
      <c r="A14" s="10" t="inlineStr">
        <is>
          <t>2. DATA GOVERNANCE &amp; OPERATIONAL ASSUMPTIONS</t>
        </is>
      </c>
    </row>
    <row r="15" ht="22" customHeight="1">
      <c r="A15" s="33" t="inlineStr">
        <is>
          <t>Governance Dimension</t>
        </is>
      </c>
      <c r="B15" s="33" t="inlineStr">
        <is>
          <t>Assumption &amp; Methodological Detail</t>
        </is>
      </c>
    </row>
    <row r="16" ht="24" customHeight="1">
      <c r="A16" s="65" t="inlineStr">
        <is>
          <t>Lead-Time Granularity</t>
        </is>
      </c>
      <c r="B16" s="66" t="inlineStr">
        <is>
          <t>Lead time in the raw DataCo dataset is recorded at the order shipment level, not per supplier SKU. Lead time parameters (mean and standard deviation) are statistically modeled by Category × Shipping Mode × Market.</t>
        </is>
      </c>
    </row>
    <row r="17" ht="24" customHeight="1">
      <c r="A17" s="67" t="inlineStr">
        <is>
          <t>Demand Time Aggregation</t>
        </is>
      </c>
      <c r="B17" s="68" t="inlineStr">
        <is>
          <t>Demand variability (XYZ) is computed over weekly unit aggregates to normalize calendar anomalies and day-of-week effects.</t>
        </is>
      </c>
    </row>
    <row r="18" ht="24" customHeight="1">
      <c r="A18" s="65" t="inlineStr">
        <is>
          <t>Cycle Service Level</t>
        </is>
      </c>
      <c r="B18" s="66" t="inlineStr">
        <is>
          <t>A 95% service level normal distribution score (Z = 1.65) was selected as the benchmark S&amp;OP service target.</t>
        </is>
      </c>
    </row>
    <row r="19" ht="24" customHeight="1">
      <c r="A19" s="67" t="inlineStr">
        <is>
          <t>Sanitized Data Governance</t>
        </is>
      </c>
      <c r="B19" s="68" t="inlineStr">
        <is>
          <t>All customer PII (Customer Email, Customer Password, Customer Street, Customer First/Last Names) was pruned during Phase 1 ETL to ensure enterprise compliance.</t>
        </is>
      </c>
    </row>
    <row r="20" ht="24" customHeight="1">
      <c r="A20" s="65" t="inlineStr">
        <is>
          <t>Inventory Cycle Simulation</t>
        </is>
      </c>
      <c r="B20" s="66" t="inlineStr">
        <is>
          <t>Since transactional POS logs do not track real-time perpetual warehouse stock, initial on-hand stock is simulated around the ROP replenishment cycle to demonstrate control tower logic.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2026-09-10T14:24:43Z</dcterms:created>
  <dcterms:modified xsi:type="dcterms:W3CDTF">2026-09-10T14:24:44Z</dcterms:modified>
</cp:coreProperties>
</file>